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feef30baaf20c8/Documents/FACULDADE/"/>
    </mc:Choice>
  </mc:AlternateContent>
  <xr:revisionPtr revIDLastSave="0" documentId="8_{A0D4509A-8A08-4395-B765-071671E32B73}" xr6:coauthVersionLast="47" xr6:coauthVersionMax="47" xr10:uidLastSave="{00000000-0000-0000-0000-000000000000}"/>
  <bookViews>
    <workbookView xWindow="-108" yWindow="-108" windowWidth="23256" windowHeight="13176" firstSheet="1" activeTab="1" xr2:uid="{D6289C1B-2288-4AD4-973C-049AD8A04853}"/>
  </bookViews>
  <sheets>
    <sheet name="Analise Combinatoria" sheetId="1" state="hidden" r:id="rId1"/>
    <sheet name="Questionario02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5" i="4" l="1"/>
  <c r="G44" i="4"/>
  <c r="N38" i="4"/>
  <c r="N30" i="4"/>
  <c r="G29" i="4"/>
  <c r="D30" i="4"/>
  <c r="D29" i="4"/>
  <c r="G25" i="4"/>
  <c r="G20" i="4"/>
  <c r="N17" i="4"/>
  <c r="G16" i="4"/>
  <c r="N11" i="4"/>
  <c r="G10" i="4"/>
  <c r="N5" i="4"/>
  <c r="G4" i="4"/>
  <c r="N21" i="4"/>
  <c r="I24" i="1"/>
  <c r="I23" i="1"/>
  <c r="I22" i="1"/>
  <c r="I20" i="1"/>
  <c r="I19" i="1"/>
  <c r="I18" i="1"/>
  <c r="I15" i="1"/>
  <c r="I14" i="1"/>
  <c r="I13" i="1"/>
  <c r="H4" i="1"/>
  <c r="H3" i="1"/>
  <c r="H2" i="1"/>
  <c r="H9" i="1" l="1"/>
  <c r="H8" i="1"/>
  <c r="H7" i="1"/>
  <c r="B9" i="1"/>
</calcChain>
</file>

<file path=xl/sharedStrings.xml><?xml version="1.0" encoding="utf-8"?>
<sst xmlns="http://schemas.openxmlformats.org/spreadsheetml/2006/main" count="106" uniqueCount="50">
  <si>
    <t xml:space="preserve">r. 840 </t>
  </si>
  <si>
    <t xml:space="preserve">r. 168 </t>
  </si>
  <si>
    <t>r. 40.600</t>
  </si>
  <si>
    <t xml:space="preserve">r.120 </t>
  </si>
  <si>
    <t>1 Em um refeitório há doces e salgados. Cada pessoa receberá um recipiente com 3 doces, dos 8 tipos disponíveis e apenas 2 salgados, dos 7 tipos fabricados. Quantas são as diferentes possibilidades de preenchimento do recipiente?</t>
  </si>
  <si>
    <t xml:space="preserve">2 Uma empresa deseja contratar 9 funcionários, sendo 6 maiores de idade e 3 menores. Participaram da entrevista 9 pessoas maiores de idade e 5 menores. De quantas maneiras a seleção pode ser feita? </t>
  </si>
  <si>
    <t>3 Um acervo de arte contem três quadros de Anita Malfati e oito de Di Cavalcanti. Pretende-se formar uma exposição com um quadro de Anita e três de Di Cavalcanti. Quantas exposições diferentes são possíveis?</t>
  </si>
  <si>
    <t xml:space="preserve">4 O conselho desportivo da escola é composto por 2 professores e três alunos. Candidataram-se 5 professores e 30 alunos. De quantas maneiras distintas este conselho pode ser composto? </t>
  </si>
  <si>
    <t xml:space="preserve">5 Uma associação tem sua diretoria formada por 10 pessoas: 6 homens e 4 mulheres. De quantas maneiras diferentes podemos montar uma comissão que tenha 3 homens e duas mulheres? </t>
  </si>
  <si>
    <t>maiores de idade</t>
  </si>
  <si>
    <t>menores de idade</t>
  </si>
  <si>
    <t>maior</t>
  </si>
  <si>
    <t>menor</t>
  </si>
  <si>
    <t>9C6</t>
  </si>
  <si>
    <t>5C3</t>
  </si>
  <si>
    <t>doces</t>
  </si>
  <si>
    <t>salgados</t>
  </si>
  <si>
    <t>fabricados</t>
  </si>
  <si>
    <t>tipos</t>
  </si>
  <si>
    <t>8C3</t>
  </si>
  <si>
    <t>7C2</t>
  </si>
  <si>
    <t>D</t>
  </si>
  <si>
    <t>Di Cavalcanti</t>
  </si>
  <si>
    <t>Anita Malfati</t>
  </si>
  <si>
    <t>3C1</t>
  </si>
  <si>
    <t>professores</t>
  </si>
  <si>
    <t>alunos</t>
  </si>
  <si>
    <t>5C2</t>
  </si>
  <si>
    <t>30C3</t>
  </si>
  <si>
    <t>homens</t>
  </si>
  <si>
    <t>mulheres</t>
  </si>
  <si>
    <t>6C3</t>
  </si>
  <si>
    <t>4C2</t>
  </si>
  <si>
    <t>p=</t>
  </si>
  <si>
    <t>n=</t>
  </si>
  <si>
    <t>Resposta com excel:</t>
  </si>
  <si>
    <t>x=</t>
  </si>
  <si>
    <t>q=</t>
  </si>
  <si>
    <t>C(n,x)=</t>
  </si>
  <si>
    <t>Nome</t>
  </si>
  <si>
    <t>1 Em um concurso público com 50 questões, cada questão apresenta 5 alternativas. O aluno resolve responder as questões a esmo. Qual é a probabilidade em % dele acertar a 10 questões da prova?        </t>
  </si>
  <si>
    <t>2 Suponha que a probabilidade em % de um pai ter um filho com os cabelos loiros seja ¼. Se houver 6 crianças na família, qual é a probabilidade de que a metade delas tenha cabelos loiros.</t>
  </si>
  <si>
    <t>3 Um engenheiro em uma inspeção amostra 12 itens aleatoriamente de um processo de fabricação. Sabe-se que que 90% da produção enquadra-se como “aceitável” . Qual é a probabilidade em % de que 80% destes itens extraídos sejam aceitáveis?      </t>
  </si>
  <si>
    <t>4 De um grupo de estudantes que prestaram exame de proficiência em inglês, escolhemos ao acaso 20 deles. Qual é a probabilidade em % de que no máximo 4 tenham passado no exame, sabendo que a probabilidade de aprovação é de 15%? </t>
  </si>
  <si>
    <t>5  A probabilidade de uma máquina produzir uma peça defeituosa é de 2% . Qual a probabilidade de que em 100 peças produzidas pela máquina num dia, ocorram 4 defeituosas? Com base nesse resultado você continuaria produzindo peças com esta máquina levando em consideração uma grande produção de peças por dia?</t>
  </si>
  <si>
    <t xml:space="preserve">6 Uma remessa de 800 estabilizadores de tensão é recebida pelo controle de qualidade de uma empresa. São inspecionados 5% destes.  Verifica-se que tivemos 90 defeituosos no lote. Qual a probabilidade de o lote ser aceito? </t>
  </si>
  <si>
    <t>7 Acredita-se que 30% dos moradores das proximidades de uma grande indústria siderúrgica tem alergia aos poluentes lançados ao ar. Admitindo que este percentual de alérgicos é real (correto), calcule a probabilidade de que pelo menos 4 moradores tenham alergia entre 12 selecionados ao acaso.</t>
  </si>
  <si>
    <t xml:space="preserve">8 A probabilidade de turbulência em um voo é de 0,40. Amostrou-se 6 voos. Qual é a probabilidade de que não haja turbulência em nenhum voo. </t>
  </si>
  <si>
    <t>NICOLAS BIZINOTTO LACERDA</t>
  </si>
  <si>
    <t>FRANCO MASCARELO ORTIZ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</si>
</sst>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F0F0F"/>
      <name val="Segoe UI"/>
      <family val="2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/>
    </xf>
    <xf numFmtId="10" fontId="2" fillId="0" borderId="0" xfId="1" applyNumberFormat="1" applyFont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3" borderId="1" xfId="0" applyFill="1" applyBorder="1" applyAlignment="1">
      <alignment horizontal="left" vertical="center"/>
    </xf>
    <xf numFmtId="10" fontId="0" fillId="0" borderId="1" xfId="1" applyNumberFormat="1" applyFont="1" applyBorder="1" applyAlignment="1">
      <alignment horizontal="center" vertical="center"/>
    </xf>
    <xf numFmtId="0" fontId="4" fillId="0" borderId="0" xfId="0" applyFont="1" applyAlignment="1">
      <alignment horizontal="left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133350</xdr:colOff>
      <xdr:row>24</xdr:row>
      <xdr:rowOff>47625</xdr:rowOff>
    </xdr:from>
    <xdr:ext cx="2162175" cy="676275"/>
    <xdr:pic>
      <xdr:nvPicPr>
        <xdr:cNvPr id="3" name="Imagem 2">
          <a:extLst>
            <a:ext uri="{FF2B5EF4-FFF2-40B4-BE49-F238E27FC236}">
              <a16:creationId xmlns:a16="http://schemas.microsoft.com/office/drawing/2014/main" id="{655967FA-0532-4294-B858-85C9F8EDDE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3" t="1" r="35809" b="-3226"/>
        <a:stretch/>
      </xdr:blipFill>
      <xdr:spPr bwMode="auto">
        <a:xfrm>
          <a:off x="4400550" y="628650"/>
          <a:ext cx="21621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133350</xdr:colOff>
      <xdr:row>19</xdr:row>
      <xdr:rowOff>47625</xdr:rowOff>
    </xdr:from>
    <xdr:ext cx="2162175" cy="676275"/>
    <xdr:pic>
      <xdr:nvPicPr>
        <xdr:cNvPr id="4" name="Imagem 3">
          <a:extLst>
            <a:ext uri="{FF2B5EF4-FFF2-40B4-BE49-F238E27FC236}">
              <a16:creationId xmlns:a16="http://schemas.microsoft.com/office/drawing/2014/main" id="{F4CF7BEB-722C-458A-81BF-91A95D11E8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3" t="1" r="35809" b="-3226"/>
        <a:stretch/>
      </xdr:blipFill>
      <xdr:spPr bwMode="auto">
        <a:xfrm>
          <a:off x="4400550" y="628650"/>
          <a:ext cx="21621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133350</xdr:colOff>
      <xdr:row>15</xdr:row>
      <xdr:rowOff>47625</xdr:rowOff>
    </xdr:from>
    <xdr:ext cx="2162175" cy="676275"/>
    <xdr:pic>
      <xdr:nvPicPr>
        <xdr:cNvPr id="5" name="Imagem 4">
          <a:extLst>
            <a:ext uri="{FF2B5EF4-FFF2-40B4-BE49-F238E27FC236}">
              <a16:creationId xmlns:a16="http://schemas.microsoft.com/office/drawing/2014/main" id="{92344B63-8E61-4D3C-9408-65A882BB1E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3" t="1" r="35809" b="-3226"/>
        <a:stretch/>
      </xdr:blipFill>
      <xdr:spPr bwMode="auto">
        <a:xfrm>
          <a:off x="4400550" y="628650"/>
          <a:ext cx="21621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133350</xdr:colOff>
      <xdr:row>9</xdr:row>
      <xdr:rowOff>47625</xdr:rowOff>
    </xdr:from>
    <xdr:ext cx="2162175" cy="676275"/>
    <xdr:pic>
      <xdr:nvPicPr>
        <xdr:cNvPr id="6" name="Imagem 5">
          <a:extLst>
            <a:ext uri="{FF2B5EF4-FFF2-40B4-BE49-F238E27FC236}">
              <a16:creationId xmlns:a16="http://schemas.microsoft.com/office/drawing/2014/main" id="{0C7237A6-2F55-4D53-8CBA-6057E974D6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3" t="1" r="35809" b="-3226"/>
        <a:stretch/>
      </xdr:blipFill>
      <xdr:spPr bwMode="auto">
        <a:xfrm>
          <a:off x="4400550" y="628650"/>
          <a:ext cx="21621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133350</xdr:colOff>
      <xdr:row>3</xdr:row>
      <xdr:rowOff>47625</xdr:rowOff>
    </xdr:from>
    <xdr:ext cx="2162175" cy="676275"/>
    <xdr:pic>
      <xdr:nvPicPr>
        <xdr:cNvPr id="7" name="Imagem 6">
          <a:extLst>
            <a:ext uri="{FF2B5EF4-FFF2-40B4-BE49-F238E27FC236}">
              <a16:creationId xmlns:a16="http://schemas.microsoft.com/office/drawing/2014/main" id="{016FC87D-A5CD-4B33-A0C9-D0B4D748BF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3" t="1" r="35809" b="-3226"/>
        <a:stretch/>
      </xdr:blipFill>
      <xdr:spPr bwMode="auto">
        <a:xfrm>
          <a:off x="4400550" y="628650"/>
          <a:ext cx="21621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133350</xdr:colOff>
      <xdr:row>28</xdr:row>
      <xdr:rowOff>47625</xdr:rowOff>
    </xdr:from>
    <xdr:ext cx="2162175" cy="676275"/>
    <xdr:pic>
      <xdr:nvPicPr>
        <xdr:cNvPr id="8" name="Imagem 7">
          <a:extLst>
            <a:ext uri="{FF2B5EF4-FFF2-40B4-BE49-F238E27FC236}">
              <a16:creationId xmlns:a16="http://schemas.microsoft.com/office/drawing/2014/main" id="{711C335A-225D-461C-89FB-7A6815EC8E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3" t="1" r="35809" b="-3226"/>
        <a:stretch/>
      </xdr:blipFill>
      <xdr:spPr bwMode="auto">
        <a:xfrm>
          <a:off x="4400550" y="9439275"/>
          <a:ext cx="21621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133350</xdr:colOff>
      <xdr:row>36</xdr:row>
      <xdr:rowOff>47625</xdr:rowOff>
    </xdr:from>
    <xdr:ext cx="2162175" cy="676275"/>
    <xdr:pic>
      <xdr:nvPicPr>
        <xdr:cNvPr id="9" name="Imagem 8">
          <a:extLst>
            <a:ext uri="{FF2B5EF4-FFF2-40B4-BE49-F238E27FC236}">
              <a16:creationId xmlns:a16="http://schemas.microsoft.com/office/drawing/2014/main" id="{329A0FDA-09D8-457F-A330-D9543BB7A1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3" t="1" r="35809" b="-3226"/>
        <a:stretch/>
      </xdr:blipFill>
      <xdr:spPr bwMode="auto">
        <a:xfrm>
          <a:off x="4400550" y="9439275"/>
          <a:ext cx="21621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133350</xdr:colOff>
      <xdr:row>43</xdr:row>
      <xdr:rowOff>47625</xdr:rowOff>
    </xdr:from>
    <xdr:ext cx="2162175" cy="676275"/>
    <xdr:pic>
      <xdr:nvPicPr>
        <xdr:cNvPr id="10" name="Imagem 9">
          <a:extLst>
            <a:ext uri="{FF2B5EF4-FFF2-40B4-BE49-F238E27FC236}">
              <a16:creationId xmlns:a16="http://schemas.microsoft.com/office/drawing/2014/main" id="{8B940C57-4504-4790-87CB-7A70D04C91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3" t="1" r="35809" b="-3226"/>
        <a:stretch/>
      </xdr:blipFill>
      <xdr:spPr bwMode="auto">
        <a:xfrm>
          <a:off x="4400550" y="9439275"/>
          <a:ext cx="216217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BD16-B615-44A7-9276-80B9A0D79A33}">
  <dimension ref="A1:L24"/>
  <sheetViews>
    <sheetView topLeftCell="A16" workbookViewId="0">
      <selection activeCell="A21" sqref="A21:L21"/>
    </sheetView>
  </sheetViews>
  <sheetFormatPr defaultRowHeight="14.4" x14ac:dyDescent="0.3"/>
  <cols>
    <col min="5" max="5" width="14.5546875" customWidth="1"/>
    <col min="7" max="7" width="12.109375" customWidth="1"/>
  </cols>
  <sheetData>
    <row r="1" spans="1:12" ht="35.1" customHeight="1" x14ac:dyDescent="0.3">
      <c r="A1" s="7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3">
      <c r="C2">
        <v>3</v>
      </c>
      <c r="D2" t="s">
        <v>15</v>
      </c>
      <c r="E2">
        <v>8</v>
      </c>
      <c r="F2" t="s">
        <v>18</v>
      </c>
      <c r="G2" t="s">
        <v>19</v>
      </c>
      <c r="H2">
        <f>COMBIN(E2,C2)</f>
        <v>56</v>
      </c>
    </row>
    <row r="3" spans="1:12" x14ac:dyDescent="0.3">
      <c r="C3">
        <v>2</v>
      </c>
      <c r="D3" t="s">
        <v>16</v>
      </c>
      <c r="E3">
        <v>7</v>
      </c>
      <c r="F3" t="s">
        <v>17</v>
      </c>
      <c r="G3" t="s">
        <v>20</v>
      </c>
      <c r="H3">
        <f>COMBIN(E3,C3)</f>
        <v>21</v>
      </c>
    </row>
    <row r="4" spans="1:12" x14ac:dyDescent="0.3">
      <c r="H4">
        <f>H2*H3</f>
        <v>1176</v>
      </c>
    </row>
    <row r="6" spans="1:12" ht="35.1" customHeight="1" x14ac:dyDescent="0.3">
      <c r="A6" s="7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3">
      <c r="B7">
        <v>6</v>
      </c>
      <c r="C7" t="s">
        <v>9</v>
      </c>
      <c r="E7">
        <v>9</v>
      </c>
      <c r="F7" t="s">
        <v>11</v>
      </c>
      <c r="G7" t="s">
        <v>13</v>
      </c>
      <c r="H7">
        <f>COMBIN(9,6)</f>
        <v>83.999999999999986</v>
      </c>
    </row>
    <row r="8" spans="1:12" x14ac:dyDescent="0.3">
      <c r="A8" t="s">
        <v>0</v>
      </c>
      <c r="B8">
        <v>3</v>
      </c>
      <c r="C8" t="s">
        <v>10</v>
      </c>
      <c r="E8">
        <v>5</v>
      </c>
      <c r="F8" t="s">
        <v>12</v>
      </c>
      <c r="G8" t="s">
        <v>14</v>
      </c>
      <c r="H8">
        <f>COMBIN(5,3)</f>
        <v>10</v>
      </c>
    </row>
    <row r="9" spans="1:12" x14ac:dyDescent="0.3">
      <c r="B9">
        <f>B7+B8</f>
        <v>9</v>
      </c>
      <c r="H9">
        <f>H7*H8</f>
        <v>839.99999999999989</v>
      </c>
    </row>
    <row r="12" spans="1:12" ht="35.1" customHeight="1" x14ac:dyDescent="0.3">
      <c r="A12" s="7" t="s">
        <v>6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3">
      <c r="A13" t="s">
        <v>1</v>
      </c>
      <c r="D13">
        <v>3</v>
      </c>
      <c r="E13" t="s">
        <v>23</v>
      </c>
      <c r="G13">
        <v>1</v>
      </c>
      <c r="H13" t="s">
        <v>24</v>
      </c>
      <c r="I13">
        <f>COMBIN(D13,G13)</f>
        <v>3</v>
      </c>
    </row>
    <row r="14" spans="1:12" x14ac:dyDescent="0.3">
      <c r="D14">
        <v>8</v>
      </c>
      <c r="E14" t="s">
        <v>22</v>
      </c>
      <c r="F14" t="s">
        <v>21</v>
      </c>
      <c r="G14">
        <v>3</v>
      </c>
      <c r="H14" t="s">
        <v>19</v>
      </c>
      <c r="I14">
        <f>COMBIN(D14,G14)</f>
        <v>56</v>
      </c>
    </row>
    <row r="15" spans="1:12" x14ac:dyDescent="0.3">
      <c r="I15">
        <f>I13*I14</f>
        <v>168</v>
      </c>
    </row>
    <row r="17" spans="1:12" ht="35.1" customHeight="1" x14ac:dyDescent="0.3">
      <c r="A17" s="7" t="s">
        <v>7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3">
      <c r="A18" t="s">
        <v>2</v>
      </c>
      <c r="D18">
        <v>2</v>
      </c>
      <c r="E18" t="s">
        <v>25</v>
      </c>
      <c r="F18">
        <v>5</v>
      </c>
      <c r="G18" t="s">
        <v>25</v>
      </c>
      <c r="H18" t="s">
        <v>27</v>
      </c>
      <c r="I18">
        <f>COMBIN(F18,D18)</f>
        <v>10</v>
      </c>
    </row>
    <row r="19" spans="1:12" x14ac:dyDescent="0.3">
      <c r="D19">
        <v>3</v>
      </c>
      <c r="E19" t="s">
        <v>26</v>
      </c>
      <c r="F19">
        <v>30</v>
      </c>
      <c r="G19" t="s">
        <v>26</v>
      </c>
      <c r="H19" t="s">
        <v>28</v>
      </c>
      <c r="I19">
        <f>COMBIN(F19,D19)</f>
        <v>4059.9999999999995</v>
      </c>
    </row>
    <row r="20" spans="1:12" x14ac:dyDescent="0.3">
      <c r="I20">
        <f>I19*I18</f>
        <v>40599.999999999993</v>
      </c>
    </row>
    <row r="21" spans="1:12" ht="35.1" customHeight="1" x14ac:dyDescent="0.3">
      <c r="A21" s="7" t="s">
        <v>8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3">
      <c r="A22" t="s">
        <v>3</v>
      </c>
      <c r="D22">
        <v>6</v>
      </c>
      <c r="E22" t="s">
        <v>29</v>
      </c>
      <c r="F22">
        <v>3</v>
      </c>
      <c r="G22" t="s">
        <v>29</v>
      </c>
      <c r="H22" t="s">
        <v>31</v>
      </c>
      <c r="I22">
        <f>COMBIN(D22,F22)</f>
        <v>20</v>
      </c>
    </row>
    <row r="23" spans="1:12" x14ac:dyDescent="0.3">
      <c r="D23">
        <v>4</v>
      </c>
      <c r="E23" t="s">
        <v>30</v>
      </c>
      <c r="F23">
        <v>2</v>
      </c>
      <c r="G23" t="s">
        <v>30</v>
      </c>
      <c r="H23" t="s">
        <v>32</v>
      </c>
      <c r="I23">
        <f>COMBIN(D23,F23)</f>
        <v>6</v>
      </c>
    </row>
    <row r="24" spans="1:12" x14ac:dyDescent="0.3">
      <c r="I24">
        <f>I22*I23</f>
        <v>120</v>
      </c>
    </row>
  </sheetData>
  <mergeCells count="5">
    <mergeCell ref="A1:L1"/>
    <mergeCell ref="A6:L6"/>
    <mergeCell ref="A12:L12"/>
    <mergeCell ref="A17:L17"/>
    <mergeCell ref="A21:L2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55B98-6AD3-44C5-B4B0-F789940E49FD}">
  <dimension ref="A1:O45"/>
  <sheetViews>
    <sheetView tabSelected="1" workbookViewId="0">
      <selection activeCell="N44" sqref="N44:O44"/>
    </sheetView>
  </sheetViews>
  <sheetFormatPr defaultRowHeight="14.4" x14ac:dyDescent="0.3"/>
  <cols>
    <col min="7" max="7" width="12" customWidth="1"/>
  </cols>
  <sheetData>
    <row r="1" spans="1:15" s="1" customFormat="1" ht="27" customHeight="1" x14ac:dyDescent="0.3">
      <c r="A1" s="6" t="s">
        <v>39</v>
      </c>
      <c r="B1" s="9" t="s">
        <v>48</v>
      </c>
      <c r="C1" s="9"/>
      <c r="D1" s="9"/>
      <c r="E1" s="9"/>
      <c r="F1" s="9"/>
      <c r="G1" s="9"/>
      <c r="H1" s="9"/>
      <c r="I1" s="9"/>
    </row>
    <row r="2" spans="1:15" s="1" customFormat="1" ht="27" customHeight="1" x14ac:dyDescent="0.3">
      <c r="A2" s="6" t="s">
        <v>39</v>
      </c>
      <c r="B2" s="9" t="s">
        <v>49</v>
      </c>
      <c r="C2" s="9"/>
      <c r="D2" s="9"/>
      <c r="E2" s="9"/>
      <c r="F2" s="9"/>
      <c r="G2" s="9"/>
      <c r="H2" s="9"/>
      <c r="I2" s="9"/>
    </row>
    <row r="3" spans="1:15" ht="42" customHeight="1" x14ac:dyDescent="0.45">
      <c r="A3" s="8" t="s">
        <v>40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s="1" customFormat="1" ht="35.1" customHeight="1" x14ac:dyDescent="0.3">
      <c r="A4" s="1" t="s">
        <v>34</v>
      </c>
      <c r="B4" s="1">
        <v>50</v>
      </c>
      <c r="C4" s="1" t="s">
        <v>33</v>
      </c>
      <c r="D4" s="1">
        <v>0.25</v>
      </c>
      <c r="F4" s="2" t="s">
        <v>38</v>
      </c>
      <c r="G4" s="2">
        <f>COMBIN(50,10)</f>
        <v>10272278170</v>
      </c>
      <c r="H4" s="2"/>
      <c r="L4" s="5" t="s">
        <v>35</v>
      </c>
      <c r="M4" s="5"/>
      <c r="N4" s="10">
        <v>9.8518409939417587E-2</v>
      </c>
      <c r="O4" s="10"/>
    </row>
    <row r="5" spans="1:15" s="1" customFormat="1" ht="35.1" customHeight="1" x14ac:dyDescent="0.3">
      <c r="A5" s="1" t="s">
        <v>36</v>
      </c>
      <c r="B5" s="1">
        <v>10</v>
      </c>
      <c r="C5" s="1" t="s">
        <v>37</v>
      </c>
      <c r="D5" s="1">
        <v>0.75</v>
      </c>
      <c r="F5" s="2"/>
      <c r="G5" s="3"/>
      <c r="H5" s="3"/>
      <c r="I5" s="4"/>
      <c r="L5" s="1" t="s">
        <v>35</v>
      </c>
      <c r="N5" s="1">
        <f>_xlfn.BINOM.DIST(B5,B4,D4, FALSE)</f>
        <v>9.8518409939417587E-2</v>
      </c>
    </row>
    <row r="9" spans="1:15" ht="45" customHeight="1" x14ac:dyDescent="0.45">
      <c r="A9" s="8" t="s">
        <v>41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1" customFormat="1" ht="35.1" customHeight="1" x14ac:dyDescent="0.3">
      <c r="A10" s="1" t="s">
        <v>34</v>
      </c>
      <c r="B10" s="1">
        <v>6</v>
      </c>
      <c r="C10" s="1" t="s">
        <v>33</v>
      </c>
      <c r="D10" s="1">
        <v>0.25</v>
      </c>
      <c r="F10" s="2" t="s">
        <v>38</v>
      </c>
      <c r="G10" s="2">
        <f>COMBIN(6,3)</f>
        <v>20</v>
      </c>
      <c r="H10" s="2"/>
      <c r="L10" s="5" t="s">
        <v>35</v>
      </c>
      <c r="M10" s="5"/>
      <c r="N10" s="10">
        <v>0.13183593749999997</v>
      </c>
      <c r="O10" s="10"/>
    </row>
    <row r="11" spans="1:15" s="1" customFormat="1" ht="35.1" customHeight="1" x14ac:dyDescent="0.3">
      <c r="A11" s="1" t="s">
        <v>36</v>
      </c>
      <c r="B11" s="1">
        <v>3</v>
      </c>
      <c r="C11" s="1" t="s">
        <v>37</v>
      </c>
      <c r="D11" s="1">
        <v>0.75</v>
      </c>
      <c r="G11" s="3"/>
      <c r="H11" s="3"/>
      <c r="I11" s="4"/>
      <c r="L11" s="1" t="s">
        <v>35</v>
      </c>
      <c r="N11" s="1">
        <f>_xlfn.BINOM.DIST(B11,B10:B10,D10, FALSE)</f>
        <v>0.13183593749999997</v>
      </c>
    </row>
    <row r="15" spans="1:15" ht="63.75" customHeight="1" x14ac:dyDescent="0.45">
      <c r="A15" s="8" t="s">
        <v>42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1" customFormat="1" ht="35.1" customHeight="1" x14ac:dyDescent="0.3">
      <c r="A16" s="1" t="s">
        <v>34</v>
      </c>
      <c r="B16" s="1">
        <v>12</v>
      </c>
      <c r="C16" s="1" t="s">
        <v>33</v>
      </c>
      <c r="D16" s="1">
        <v>0.9</v>
      </c>
      <c r="F16" s="2" t="s">
        <v>38</v>
      </c>
      <c r="G16" s="2">
        <f>COMBIN(12,10)</f>
        <v>66</v>
      </c>
      <c r="H16" s="2"/>
      <c r="L16" s="5" t="s">
        <v>35</v>
      </c>
      <c r="M16" s="5"/>
      <c r="N16" s="10">
        <v>0.230127770466</v>
      </c>
      <c r="O16" s="10"/>
    </row>
    <row r="17" spans="1:15" s="1" customFormat="1" ht="35.1" customHeight="1" x14ac:dyDescent="0.3">
      <c r="A17" s="1" t="s">
        <v>36</v>
      </c>
      <c r="B17" s="1">
        <v>10</v>
      </c>
      <c r="C17" s="1" t="s">
        <v>37</v>
      </c>
      <c r="D17" s="1">
        <v>0.1</v>
      </c>
      <c r="F17" s="2"/>
      <c r="G17" s="3"/>
      <c r="H17" s="3"/>
      <c r="I17" s="4"/>
      <c r="L17" s="1" t="s">
        <v>35</v>
      </c>
      <c r="N17" s="1">
        <f>_xlfn.BINOM.DIST(B17,B16,D16,FALSE)</f>
        <v>0.230127770466</v>
      </c>
    </row>
    <row r="19" spans="1:15" ht="71.25" customHeight="1" x14ac:dyDescent="0.45">
      <c r="A19" s="8" t="s">
        <v>43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1" customFormat="1" ht="35.1" customHeight="1" x14ac:dyDescent="0.3">
      <c r="A20" s="1" t="s">
        <v>34</v>
      </c>
      <c r="B20" s="1">
        <v>20</v>
      </c>
      <c r="C20" s="1" t="s">
        <v>33</v>
      </c>
      <c r="D20" s="1">
        <v>0.15</v>
      </c>
      <c r="F20" s="2" t="s">
        <v>38</v>
      </c>
      <c r="G20" s="2">
        <f>COMBIN(20,4)</f>
        <v>4845</v>
      </c>
      <c r="H20" s="2"/>
      <c r="L20" s="5" t="s">
        <v>35</v>
      </c>
      <c r="M20" s="5"/>
      <c r="N20" s="10">
        <v>0.82984684626865368</v>
      </c>
      <c r="O20" s="10"/>
    </row>
    <row r="21" spans="1:15" s="1" customFormat="1" ht="35.1" customHeight="1" x14ac:dyDescent="0.3">
      <c r="A21" s="1" t="s">
        <v>36</v>
      </c>
      <c r="B21" s="1">
        <v>4</v>
      </c>
      <c r="C21" s="1" t="s">
        <v>37</v>
      </c>
      <c r="D21" s="1">
        <v>0.85</v>
      </c>
      <c r="F21" s="2"/>
      <c r="G21" s="3"/>
      <c r="H21" s="3"/>
      <c r="I21" s="4"/>
      <c r="L21" s="1" t="s">
        <v>35</v>
      </c>
      <c r="N21" s="1">
        <f>_xlfn.BINOM.DIST(4,20,0.15,TRUE)</f>
        <v>0.82984684626865368</v>
      </c>
    </row>
    <row r="24" spans="1:15" ht="76.5" customHeight="1" x14ac:dyDescent="0.45">
      <c r="A24" s="8" t="s">
        <v>44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5" s="1" customFormat="1" ht="35.1" customHeight="1" x14ac:dyDescent="0.3">
      <c r="A25" s="1" t="s">
        <v>34</v>
      </c>
      <c r="B25" s="1">
        <v>100</v>
      </c>
      <c r="C25" s="1" t="s">
        <v>33</v>
      </c>
      <c r="D25" s="1">
        <v>0.02</v>
      </c>
      <c r="F25" s="2" t="s">
        <v>38</v>
      </c>
      <c r="G25" s="2">
        <f>COMBIN(100,4)</f>
        <v>3921225</v>
      </c>
      <c r="H25" s="2"/>
      <c r="L25" s="5" t="s">
        <v>35</v>
      </c>
      <c r="M25" s="5"/>
      <c r="N25" s="10"/>
      <c r="O25" s="10"/>
    </row>
    <row r="26" spans="1:15" s="1" customFormat="1" ht="35.1" customHeight="1" x14ac:dyDescent="0.3">
      <c r="A26" s="1" t="s">
        <v>36</v>
      </c>
      <c r="B26" s="1">
        <v>4</v>
      </c>
      <c r="C26" s="1" t="s">
        <v>37</v>
      </c>
      <c r="D26" s="1">
        <v>0.98</v>
      </c>
      <c r="F26" s="2"/>
      <c r="G26" s="3"/>
      <c r="H26" s="3"/>
      <c r="I26" s="4"/>
      <c r="L26" s="1" t="s">
        <v>35</v>
      </c>
    </row>
    <row r="28" spans="1:15" ht="67.5" customHeight="1" x14ac:dyDescent="0.45">
      <c r="A28" s="8" t="s">
        <v>45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5" x14ac:dyDescent="0.3">
      <c r="A29" s="1" t="s">
        <v>34</v>
      </c>
      <c r="B29" s="1">
        <v>40</v>
      </c>
      <c r="C29" s="1" t="s">
        <v>33</v>
      </c>
      <c r="D29" s="1">
        <f>9/800</f>
        <v>1.125E-2</v>
      </c>
      <c r="E29" s="1"/>
      <c r="F29" s="2" t="s">
        <v>38</v>
      </c>
      <c r="G29" s="2">
        <f>COMBIN(B29,B30)</f>
        <v>273438879.99999994</v>
      </c>
      <c r="H29" s="2"/>
      <c r="I29" s="1"/>
      <c r="J29" s="1"/>
      <c r="K29" s="1"/>
      <c r="L29" s="5" t="s">
        <v>35</v>
      </c>
      <c r="M29" s="5"/>
      <c r="N29" s="10">
        <v>0.99999999997977063</v>
      </c>
      <c r="O29" s="10"/>
    </row>
    <row r="30" spans="1:15" x14ac:dyDescent="0.3">
      <c r="A30" s="1" t="s">
        <v>36</v>
      </c>
      <c r="B30" s="1">
        <v>9</v>
      </c>
      <c r="C30" s="1" t="s">
        <v>37</v>
      </c>
      <c r="D30" s="1">
        <f>1-D29</f>
        <v>0.98875000000000002</v>
      </c>
      <c r="E30" s="1"/>
      <c r="F30" s="2"/>
      <c r="G30" s="3"/>
      <c r="H30" s="3"/>
      <c r="I30" s="4"/>
      <c r="J30" s="1"/>
      <c r="K30" s="1"/>
      <c r="L30" s="1" t="s">
        <v>35</v>
      </c>
      <c r="M30" s="1"/>
      <c r="N30" s="1">
        <f>_xlfn.BINOM.DIST(B30,B29,D29,TRUE)</f>
        <v>0.99999999997977063</v>
      </c>
      <c r="O30" s="1"/>
    </row>
    <row r="36" spans="1:15" ht="62.25" customHeight="1" x14ac:dyDescent="0.45">
      <c r="A36" s="8" t="s">
        <v>46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x14ac:dyDescent="0.3">
      <c r="A37" s="1" t="s">
        <v>34</v>
      </c>
      <c r="B37" s="1">
        <v>12</v>
      </c>
      <c r="C37" s="1" t="s">
        <v>33</v>
      </c>
      <c r="D37" s="1">
        <v>0.3</v>
      </c>
      <c r="E37" s="1"/>
      <c r="F37" s="2" t="s">
        <v>38</v>
      </c>
      <c r="G37" s="2"/>
      <c r="H37" s="2"/>
      <c r="I37" s="1"/>
      <c r="J37" s="1"/>
      <c r="K37" s="1"/>
      <c r="L37" s="5" t="s">
        <v>35</v>
      </c>
      <c r="M37" s="5"/>
      <c r="N37" s="10">
        <v>0.49251577343499986</v>
      </c>
      <c r="O37" s="10"/>
    </row>
    <row r="38" spans="1:15" x14ac:dyDescent="0.3">
      <c r="A38" s="1" t="s">
        <v>36</v>
      </c>
      <c r="B38" s="1">
        <v>3</v>
      </c>
      <c r="C38" s="1" t="s">
        <v>37</v>
      </c>
      <c r="D38" s="1">
        <v>0.7</v>
      </c>
      <c r="E38" s="1"/>
      <c r="F38" s="2"/>
      <c r="G38" s="3"/>
      <c r="H38" s="3"/>
      <c r="I38" s="4"/>
      <c r="J38" s="1"/>
      <c r="K38" s="1"/>
      <c r="L38" s="1" t="s">
        <v>35</v>
      </c>
      <c r="M38" s="1"/>
      <c r="N38" s="1">
        <f>_xlfn.BINOM.DIST(B38,B37,D37,TRUE)</f>
        <v>0.49251577343499986</v>
      </c>
      <c r="O38" s="1"/>
    </row>
    <row r="43" spans="1:15" ht="48" customHeight="1" x14ac:dyDescent="0.45">
      <c r="A43" s="11" t="s">
        <v>47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x14ac:dyDescent="0.3">
      <c r="A44" s="1" t="s">
        <v>34</v>
      </c>
      <c r="B44" s="1">
        <v>6</v>
      </c>
      <c r="C44" s="1" t="s">
        <v>33</v>
      </c>
      <c r="D44" s="1">
        <v>0.4</v>
      </c>
      <c r="E44" s="1"/>
      <c r="F44" s="2" t="s">
        <v>38</v>
      </c>
      <c r="G44" s="2">
        <f>COMBIN(6,0)</f>
        <v>1</v>
      </c>
      <c r="H44" s="2"/>
      <c r="I44" s="1"/>
      <c r="J44" s="1"/>
      <c r="K44" s="1"/>
      <c r="L44" s="5" t="s">
        <v>35</v>
      </c>
      <c r="M44" s="5"/>
      <c r="N44" s="10">
        <v>4.6655999999999989E-2</v>
      </c>
      <c r="O44" s="10"/>
    </row>
    <row r="45" spans="1:15" x14ac:dyDescent="0.3">
      <c r="A45" s="1" t="s">
        <v>36</v>
      </c>
      <c r="B45" s="1">
        <v>0</v>
      </c>
      <c r="C45" s="1" t="s">
        <v>37</v>
      </c>
      <c r="D45" s="1">
        <v>0.6</v>
      </c>
      <c r="E45" s="1"/>
      <c r="F45" s="2"/>
      <c r="G45" s="3"/>
      <c r="H45" s="3"/>
      <c r="I45" s="4"/>
      <c r="J45" s="1"/>
      <c r="K45" s="1"/>
      <c r="L45" s="1" t="s">
        <v>35</v>
      </c>
      <c r="M45" s="1"/>
      <c r="N45">
        <f>_xlfn.BINOM.DIST(B45,B44,D44,FALSE)</f>
        <v>4.6655999999999989E-2</v>
      </c>
      <c r="O45" s="1"/>
    </row>
  </sheetData>
  <mergeCells count="18">
    <mergeCell ref="N4:O4"/>
    <mergeCell ref="A3:O3"/>
    <mergeCell ref="A9:O9"/>
    <mergeCell ref="A15:O15"/>
    <mergeCell ref="B1:I1"/>
    <mergeCell ref="B2:I2"/>
    <mergeCell ref="N44:O44"/>
    <mergeCell ref="A19:O19"/>
    <mergeCell ref="A24:O24"/>
    <mergeCell ref="A28:O28"/>
    <mergeCell ref="A36:O36"/>
    <mergeCell ref="A43:O43"/>
    <mergeCell ref="N29:O29"/>
    <mergeCell ref="N37:O37"/>
    <mergeCell ref="N25:O25"/>
    <mergeCell ref="N20:O20"/>
    <mergeCell ref="N16:O16"/>
    <mergeCell ref="N10:O1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Analise Combinatoria</vt:lpstr>
      <vt:lpstr>Questionario02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</dc:creator>
  <cp:lastModifiedBy>Nicolas Bizinotto</cp:lastModifiedBy>
  <dcterms:created xsi:type="dcterms:W3CDTF">2020-06-30T19:57:53Z</dcterms:created>
  <dcterms:modified xsi:type="dcterms:W3CDTF">2025-12-05T19:14:52Z</dcterms:modified>
</cp:coreProperties>
</file>