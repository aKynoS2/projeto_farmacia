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dc4\OneDrive - FTEC FACULDADES\DISCIPLINAS\PROBABILIDADE\PROB_2025_01\Aula 11 Regressao Linear\"/>
    </mc:Choice>
  </mc:AlternateContent>
  <xr:revisionPtr revIDLastSave="0" documentId="13_ncr:1_{CFF078B0-8FB0-4A6A-B1AA-AB58BC88C8AD}" xr6:coauthVersionLast="47" xr6:coauthVersionMax="47" xr10:uidLastSave="{00000000-0000-0000-0000-000000000000}"/>
  <bookViews>
    <workbookView xWindow="-120" yWindow="-120" windowWidth="26640" windowHeight="14370" xr2:uid="{2A45DB1D-B082-4B0B-AC9D-73C5FB180285}"/>
  </bookViews>
  <sheets>
    <sheet name="Exercicio_01" sheetId="3" r:id="rId1"/>
    <sheet name="Exer 02" sheetId="4" r:id="rId2"/>
    <sheet name="Exer 03" sheetId="5" r:id="rId3"/>
    <sheet name="Exer 04" sheetId="6" r:id="rId4"/>
    <sheet name="Exercicio_01Resolvido" sheetId="2" r:id="rId5"/>
    <sheet name="Roteir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6" l="1"/>
  <c r="E10" i="6"/>
  <c r="D10" i="6"/>
  <c r="N8" i="6"/>
  <c r="M8" i="6"/>
  <c r="Q7" i="6"/>
  <c r="P7" i="6"/>
  <c r="O7" i="6"/>
  <c r="Q6" i="6"/>
  <c r="P6" i="6"/>
  <c r="O6" i="6"/>
  <c r="Q5" i="6"/>
  <c r="P5" i="6"/>
  <c r="O5" i="6"/>
  <c r="Q4" i="6"/>
  <c r="P4" i="6"/>
  <c r="O4" i="6"/>
  <c r="Q3" i="6"/>
  <c r="Q8" i="6" s="1"/>
  <c r="P3" i="6"/>
  <c r="P8" i="6" s="1"/>
  <c r="O3" i="6"/>
  <c r="O8" i="6" s="1"/>
  <c r="C7" i="5"/>
  <c r="B7" i="5"/>
  <c r="F6" i="5"/>
  <c r="E6" i="5"/>
  <c r="D6" i="5"/>
  <c r="F5" i="5"/>
  <c r="E5" i="5"/>
  <c r="D5" i="5"/>
  <c r="F4" i="5"/>
  <c r="E4" i="5"/>
  <c r="D4" i="5"/>
  <c r="F3" i="5"/>
  <c r="E3" i="5"/>
  <c r="D3" i="5"/>
  <c r="F2" i="5"/>
  <c r="F7" i="5" s="1"/>
  <c r="E2" i="5"/>
  <c r="E7" i="5" s="1"/>
  <c r="D2" i="5"/>
  <c r="D7" i="5" s="1"/>
  <c r="C21" i="3"/>
  <c r="K63" i="2"/>
  <c r="N63" i="2" s="1"/>
  <c r="O51" i="2"/>
  <c r="O50" i="2"/>
  <c r="L37" i="2"/>
  <c r="K24" i="2"/>
  <c r="K22" i="2"/>
  <c r="C21" i="2"/>
  <c r="K20" i="2"/>
  <c r="L11" i="2"/>
  <c r="L10" i="2"/>
  <c r="M10" i="2" s="1"/>
  <c r="L13" i="2" l="1"/>
  <c r="K26" i="2"/>
  <c r="K28" i="2" s="1"/>
  <c r="H17" i="3" l="1"/>
  <c r="H16" i="3"/>
  <c r="H15" i="3"/>
  <c r="H14" i="3"/>
  <c r="H13" i="3"/>
  <c r="H12" i="3"/>
  <c r="H11" i="3"/>
  <c r="H10" i="3"/>
  <c r="M47" i="2"/>
  <c r="K39" i="2"/>
  <c r="H17" i="2"/>
  <c r="H16" i="2"/>
  <c r="H15" i="2"/>
  <c r="H14" i="2"/>
  <c r="H11" i="2"/>
  <c r="H10" i="2"/>
  <c r="H13" i="2"/>
  <c r="H12" i="2"/>
  <c r="M28" i="2"/>
  <c r="N41" i="2" l="1"/>
  <c r="N40" i="2"/>
</calcChain>
</file>

<file path=xl/sharedStrings.xml><?xml version="1.0" encoding="utf-8"?>
<sst xmlns="http://schemas.openxmlformats.org/spreadsheetml/2006/main" count="189" uniqueCount="93">
  <si>
    <t>hipotéticos. Determine a equação de regressão e desenvolva a teria das hipóteses.</t>
  </si>
  <si>
    <t xml:space="preserve">Exercícios 01: Certa empresa  produz  sapatos  distribuindo-os  através  de  uma  rede  por  todo  o </t>
  </si>
  <si>
    <t xml:space="preserve">interior do estado. Realizou uma pesquisa para determinar qual a relação que havia entre o preço do </t>
  </si>
  <si>
    <t xml:space="preserve">produto  e  a  distancia  do  mercado  consumidor  da  cidade  produtora. Preço  pela  distância,  dados </t>
  </si>
  <si>
    <t>Distância</t>
  </si>
  <si>
    <t>(km)=(X)</t>
  </si>
  <si>
    <t>a)Cálculo da Equação</t>
  </si>
  <si>
    <t>Distância=(X)</t>
  </si>
  <si>
    <t>Preço=(Y)</t>
  </si>
  <si>
    <t>X²</t>
  </si>
  <si>
    <t>XY</t>
  </si>
  <si>
    <t>Y²</t>
  </si>
  <si>
    <t>y equação</t>
  </si>
  <si>
    <t>b=</t>
  </si>
  <si>
    <t>a=</t>
  </si>
  <si>
    <t>Y=a+bX</t>
  </si>
  <si>
    <t>Y=30,1877+0,1180X</t>
  </si>
  <si>
    <t>SOMA</t>
  </si>
  <si>
    <t>b)Testes de Hipóteses</t>
  </si>
  <si>
    <t>Syy=</t>
  </si>
  <si>
    <t>tc no excel, no lado esquerdo.</t>
  </si>
  <si>
    <t>Sxx=</t>
  </si>
  <si>
    <t>Sxy=</t>
  </si>
  <si>
    <t>S²=</t>
  </si>
  <si>
    <t>S=</t>
  </si>
  <si>
    <t>t=</t>
  </si>
  <si>
    <t>tc=2,4469</t>
  </si>
  <si>
    <t>t&gt;tc</t>
  </si>
  <si>
    <t>Rejeita-se a hipótese nula, aceita-se a hipótese alternativa, ou seja, existe relação entre as variáveis</t>
  </si>
  <si>
    <t>8,27&gt;2,45</t>
  </si>
  <si>
    <t>tc=2,447</t>
  </si>
  <si>
    <t>c)Intervalo de confiança de alfa com nivel de confiança estabelecido</t>
  </si>
  <si>
    <t>a+-tc S a</t>
  </si>
  <si>
    <t>Xm=</t>
  </si>
  <si>
    <t>.Sa=</t>
  </si>
  <si>
    <t>tc=</t>
  </si>
  <si>
    <t>d)Intervalo de confiança de beta com nivel de confiança estabelecido</t>
  </si>
  <si>
    <t>b+-tc S ab</t>
  </si>
  <si>
    <t>Sb=</t>
  </si>
  <si>
    <t>0,1180+2,447*0,014257</t>
  </si>
  <si>
    <t>0,1180-2,447*0,014257</t>
  </si>
  <si>
    <t>e) Determinação dos coeficientes de Determinação ou explicação e de Correlação</t>
  </si>
  <si>
    <t>Determinação ou Explicação</t>
  </si>
  <si>
    <t>Correlação</t>
  </si>
  <si>
    <t>R²=</t>
  </si>
  <si>
    <t>0,1180*17590</t>
  </si>
  <si>
    <t>R=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</si>
  <si>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</si>
  <si>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</si>
  <si>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</si>
  <si>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</si>
  <si>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</si>
  <si>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</si>
  <si>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</si>
  <si>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</si>
  <si>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gl</t>
  </si>
  <si>
    <t>SQ</t>
  </si>
  <si>
    <t>MQ</t>
  </si>
  <si>
    <t>F</t>
  </si>
  <si>
    <t>F de significação</t>
  </si>
  <si>
    <t>Regressão</t>
  </si>
  <si>
    <t>Resíduo</t>
  </si>
  <si>
    <t>Total</t>
  </si>
  <si>
    <t>Coeficientes</t>
  </si>
  <si>
    <t>Stat t</t>
  </si>
  <si>
    <t>valor-P</t>
  </si>
  <si>
    <t>95% inferiores</t>
  </si>
  <si>
    <t>95% superiores</t>
  </si>
  <si>
    <t>Inferior 90,0%</t>
  </si>
  <si>
    <t>Superior 90,0%</t>
  </si>
  <si>
    <t>Interseção</t>
  </si>
  <si>
    <t>X</t>
  </si>
  <si>
    <t>Y</t>
  </si>
  <si>
    <t>X (Idade)</t>
  </si>
  <si>
    <t>Y(Valor)</t>
  </si>
  <si>
    <t>Os dados abaixo indicam o valor dos alugueis (Y) e a idade dos imóveis (X).</t>
  </si>
  <si>
    <t>Baseado nos dados indicado calcule:</t>
  </si>
  <si>
    <t>a) A equação da reta pelo método dos mínimos quadrados.</t>
  </si>
  <si>
    <t>b) Calcular o erro padrão (S)</t>
  </si>
  <si>
    <t>c) Testar a existência de regressão, através de Student, com significância de 10% (tc=2,35)</t>
  </si>
  <si>
    <t>d) Construir o intervalo de confiança para alfa com significância de 10%.</t>
  </si>
  <si>
    <t>e) Construir o intervalo de confiança para beta com significância de 10%.</t>
  </si>
  <si>
    <t>f) Calcule o coeficiente de correlação.</t>
  </si>
  <si>
    <t>g) Calcule o coeficiente de determinação.</t>
  </si>
  <si>
    <t>h) Calcule o valor do aluguel para uma idade de 25 anos.</t>
  </si>
  <si>
    <t>h) Calcule o faturamento para uma despesa de 18</t>
  </si>
  <si>
    <t>i) Ao adquirir um imóvel com 15 anos, qual o valor do aluguel?</t>
  </si>
  <si>
    <t>j)Qual a idade do imóvel que poderei aluguar quando possuir um valor de 7,00</t>
  </si>
  <si>
    <t>Questão 03 (6*0,3=1,8). Os dados abaixo indicam o valor dos alugueis (Y) e a idade dos imóveis (X).</t>
  </si>
  <si>
    <t>Responda as questões abaixo:</t>
  </si>
  <si>
    <t>a) Qual a equação da reta:</t>
  </si>
  <si>
    <t>b) Qual o erro padrão (S)</t>
  </si>
  <si>
    <t>c) Qual o erro de a (Sa):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</si>
</sst>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3" fillId="0" borderId="10" xfId="0" applyFont="1" applyBorder="1" applyAlignment="1">
      <alignment horizontal="centerContinuous"/>
    </xf>
    <xf numFmtId="0" fontId="0" fillId="0" borderId="11" xfId="0" applyBorder="1"/>
    <xf numFmtId="0" fontId="3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0" fontId="1" fillId="4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Exercicio_01Resolvido!$C$10:$C$17</c:f>
              <c:numCache>
                <c:formatCode>General</c:formatCode>
                <c:ptCount val="8"/>
                <c:pt idx="0">
                  <c:v>50</c:v>
                </c:pt>
                <c:pt idx="1">
                  <c:v>240</c:v>
                </c:pt>
                <c:pt idx="2">
                  <c:v>150</c:v>
                </c:pt>
                <c:pt idx="3">
                  <c:v>350</c:v>
                </c:pt>
                <c:pt idx="4">
                  <c:v>100</c:v>
                </c:pt>
                <c:pt idx="5">
                  <c:v>175</c:v>
                </c:pt>
                <c:pt idx="6">
                  <c:v>485</c:v>
                </c:pt>
                <c:pt idx="7">
                  <c:v>335</c:v>
                </c:pt>
              </c:numCache>
            </c:numRef>
          </c:xVal>
          <c:yVal>
            <c:numRef>
              <c:f>Exercicio_01Resolvido!$D$10:$D$17</c:f>
              <c:numCache>
                <c:formatCode>General</c:formatCode>
                <c:ptCount val="8"/>
                <c:pt idx="0">
                  <c:v>36</c:v>
                </c:pt>
                <c:pt idx="1">
                  <c:v>48</c:v>
                </c:pt>
                <c:pt idx="2">
                  <c:v>50</c:v>
                </c:pt>
                <c:pt idx="3">
                  <c:v>70</c:v>
                </c:pt>
                <c:pt idx="4">
                  <c:v>42</c:v>
                </c:pt>
                <c:pt idx="5">
                  <c:v>58</c:v>
                </c:pt>
                <c:pt idx="6">
                  <c:v>91</c:v>
                </c:pt>
                <c:pt idx="7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CC-4B8C-BC41-E13EB539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21696"/>
        <c:axId val="80223232"/>
      </c:scatterChart>
      <c:valAx>
        <c:axId val="8022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223232"/>
        <c:crosses val="autoZero"/>
        <c:crossBetween val="midCat"/>
      </c:valAx>
      <c:valAx>
        <c:axId val="8022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2216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60613</xdr:colOff>
      <xdr:row>33</xdr:row>
      <xdr:rowOff>73602</xdr:rowOff>
    </xdr:from>
    <xdr:to>
      <xdr:col>15</xdr:col>
      <xdr:colOff>29102</xdr:colOff>
      <xdr:row>36</xdr:row>
      <xdr:rowOff>59813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127EAC-3DDD-4F69-AC99-6C6C5109E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1133" y="6116262"/>
          <a:ext cx="1797289" cy="534851"/>
        </a:xfrm>
        <a:prstGeom prst="rect">
          <a:avLst/>
        </a:prstGeom>
      </xdr:spPr>
    </xdr:pic>
    <xdr:clientData/>
  </xdr:twoCellAnchor>
  <xdr:twoCellAnchor editAs="oneCell">
    <xdr:from>
      <xdr:col>8</xdr:col>
      <xdr:colOff>580160</xdr:colOff>
      <xdr:row>45</xdr:row>
      <xdr:rowOff>69273</xdr:rowOff>
    </xdr:from>
    <xdr:to>
      <xdr:col>10</xdr:col>
      <xdr:colOff>252351</xdr:colOff>
      <xdr:row>48</xdr:row>
      <xdr:rowOff>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4E4BD2-1C3B-484E-BF0B-E58F4CDD4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2280" y="8306493"/>
          <a:ext cx="891391" cy="476479"/>
        </a:xfrm>
        <a:prstGeom prst="rect">
          <a:avLst/>
        </a:prstGeom>
      </xdr:spPr>
    </xdr:pic>
    <xdr:clientData/>
  </xdr:twoCellAnchor>
  <xdr:twoCellAnchor editAs="oneCell">
    <xdr:from>
      <xdr:col>9</xdr:col>
      <xdr:colOff>56284</xdr:colOff>
      <xdr:row>49</xdr:row>
      <xdr:rowOff>12989</xdr:rowOff>
    </xdr:from>
    <xdr:to>
      <xdr:col>10</xdr:col>
      <xdr:colOff>463551</xdr:colOff>
      <xdr:row>51</xdr:row>
      <xdr:rowOff>4330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62CBFBE-662F-45B6-87B1-46CBF21C4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8004" y="8981729"/>
          <a:ext cx="1016867" cy="357101"/>
        </a:xfrm>
        <a:prstGeom prst="rect">
          <a:avLst/>
        </a:prstGeom>
      </xdr:spPr>
    </xdr:pic>
    <xdr:clientData/>
  </xdr:twoCellAnchor>
  <xdr:twoCellAnchor editAs="oneCell">
    <xdr:from>
      <xdr:col>9</xdr:col>
      <xdr:colOff>316056</xdr:colOff>
      <xdr:row>56</xdr:row>
      <xdr:rowOff>99579</xdr:rowOff>
    </xdr:from>
    <xdr:to>
      <xdr:col>10</xdr:col>
      <xdr:colOff>266513</xdr:colOff>
      <xdr:row>58</xdr:row>
      <xdr:rowOff>53248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37E6D11-DDFC-4CF2-BCD3-D77A8E4D4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7776" y="10348479"/>
          <a:ext cx="560057" cy="319429"/>
        </a:xfrm>
        <a:prstGeom prst="rect">
          <a:avLst/>
        </a:prstGeom>
      </xdr:spPr>
    </xdr:pic>
    <xdr:clientData/>
  </xdr:twoCellAnchor>
  <xdr:twoCellAnchor editAs="oneCell">
    <xdr:from>
      <xdr:col>12</xdr:col>
      <xdr:colOff>532532</xdr:colOff>
      <xdr:row>56</xdr:row>
      <xdr:rowOff>77931</xdr:rowOff>
    </xdr:from>
    <xdr:to>
      <xdr:col>14</xdr:col>
      <xdr:colOff>28748</xdr:colOff>
      <xdr:row>58</xdr:row>
      <xdr:rowOff>31600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A445F4A-2CDD-49C8-A1EB-9D390D547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3052" y="10326831"/>
          <a:ext cx="715416" cy="319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60613</xdr:colOff>
      <xdr:row>33</xdr:row>
      <xdr:rowOff>73602</xdr:rowOff>
    </xdr:from>
    <xdr:to>
      <xdr:col>15</xdr:col>
      <xdr:colOff>29102</xdr:colOff>
      <xdr:row>36</xdr:row>
      <xdr:rowOff>59813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1CE130-AD0B-424A-9F2D-1CBC10EF6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1133" y="6116262"/>
          <a:ext cx="1797289" cy="534851"/>
        </a:xfrm>
        <a:prstGeom prst="rect">
          <a:avLst/>
        </a:prstGeom>
      </xdr:spPr>
    </xdr:pic>
    <xdr:clientData/>
  </xdr:twoCellAnchor>
  <xdr:twoCellAnchor editAs="oneCell">
    <xdr:from>
      <xdr:col>8</xdr:col>
      <xdr:colOff>580160</xdr:colOff>
      <xdr:row>45</xdr:row>
      <xdr:rowOff>69273</xdr:rowOff>
    </xdr:from>
    <xdr:to>
      <xdr:col>10</xdr:col>
      <xdr:colOff>252351</xdr:colOff>
      <xdr:row>48</xdr:row>
      <xdr:rowOff>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447603-8C74-4565-8B54-211BFD7E2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2280" y="8306493"/>
          <a:ext cx="891391" cy="476479"/>
        </a:xfrm>
        <a:prstGeom prst="rect">
          <a:avLst/>
        </a:prstGeom>
      </xdr:spPr>
    </xdr:pic>
    <xdr:clientData/>
  </xdr:twoCellAnchor>
  <xdr:twoCellAnchor editAs="oneCell">
    <xdr:from>
      <xdr:col>9</xdr:col>
      <xdr:colOff>56284</xdr:colOff>
      <xdr:row>49</xdr:row>
      <xdr:rowOff>12989</xdr:rowOff>
    </xdr:from>
    <xdr:to>
      <xdr:col>10</xdr:col>
      <xdr:colOff>463551</xdr:colOff>
      <xdr:row>51</xdr:row>
      <xdr:rowOff>4330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23CBC18-822F-4ACC-9B60-55DB34A22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8004" y="8981729"/>
          <a:ext cx="1016867" cy="357101"/>
        </a:xfrm>
        <a:prstGeom prst="rect">
          <a:avLst/>
        </a:prstGeom>
      </xdr:spPr>
    </xdr:pic>
    <xdr:clientData/>
  </xdr:twoCellAnchor>
  <xdr:twoCellAnchor editAs="oneCell">
    <xdr:from>
      <xdr:col>9</xdr:col>
      <xdr:colOff>316056</xdr:colOff>
      <xdr:row>56</xdr:row>
      <xdr:rowOff>99579</xdr:rowOff>
    </xdr:from>
    <xdr:to>
      <xdr:col>10</xdr:col>
      <xdr:colOff>266513</xdr:colOff>
      <xdr:row>58</xdr:row>
      <xdr:rowOff>53248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80D1AD6-FE93-40F0-8580-038FC8200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7776" y="10348479"/>
          <a:ext cx="560057" cy="319429"/>
        </a:xfrm>
        <a:prstGeom prst="rect">
          <a:avLst/>
        </a:prstGeom>
      </xdr:spPr>
    </xdr:pic>
    <xdr:clientData/>
  </xdr:twoCellAnchor>
  <xdr:twoCellAnchor editAs="oneCell">
    <xdr:from>
      <xdr:col>12</xdr:col>
      <xdr:colOff>532532</xdr:colOff>
      <xdr:row>56</xdr:row>
      <xdr:rowOff>77931</xdr:rowOff>
    </xdr:from>
    <xdr:to>
      <xdr:col>14</xdr:col>
      <xdr:colOff>28748</xdr:colOff>
      <xdr:row>58</xdr:row>
      <xdr:rowOff>31600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F30E715-FDD5-4392-9FBD-7BC33FACD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03052" y="10326831"/>
          <a:ext cx="715416" cy="319429"/>
        </a:xfrm>
        <a:prstGeom prst="rect">
          <a:avLst/>
        </a:prstGeom>
      </xdr:spPr>
    </xdr:pic>
    <xdr:clientData/>
  </xdr:twoCellAnchor>
  <xdr:twoCellAnchor>
    <xdr:from>
      <xdr:col>13</xdr:col>
      <xdr:colOff>266412</xdr:colOff>
      <xdr:row>2</xdr:row>
      <xdr:rowOff>43179</xdr:rowOff>
    </xdr:from>
    <xdr:to>
      <xdr:col>20</xdr:col>
      <xdr:colOff>574313</xdr:colOff>
      <xdr:row>16</xdr:row>
      <xdr:rowOff>150389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AD4406E-8A95-465E-B7DE-70F4DA578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13</xdr:col>
      <xdr:colOff>164463</xdr:colOff>
      <xdr:row>17</xdr:row>
      <xdr:rowOff>167640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511C8D-E0BF-8317-ABD0-6FAB1C5B5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089262" cy="3276600"/>
        </a:xfrm>
        <a:prstGeom prst="rect">
          <a:avLst/>
        </a:prstGeom>
      </xdr:spPr>
    </xdr:pic>
    <xdr:clientData/>
  </xdr:twoCellAnchor>
  <xdr:twoCellAnchor editAs="oneCell">
    <xdr:from>
      <xdr:col>0</xdr:col>
      <xdr:colOff>411480</xdr:colOff>
      <xdr:row>17</xdr:row>
      <xdr:rowOff>129540</xdr:rowOff>
    </xdr:from>
    <xdr:to>
      <xdr:col>13</xdr:col>
      <xdr:colOff>260763</xdr:colOff>
      <xdr:row>35</xdr:row>
      <xdr:rowOff>160758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65ADCCD-7FFB-94D3-2869-B8362502C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" y="3238500"/>
          <a:ext cx="7774083" cy="3323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45720</xdr:rowOff>
    </xdr:from>
    <xdr:to>
      <xdr:col>14</xdr:col>
      <xdr:colOff>12805</xdr:colOff>
      <xdr:row>60</xdr:row>
      <xdr:rowOff>32605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5D9907E-CFC8-0F97-6017-88A81B7FE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29400"/>
          <a:ext cx="8547205" cy="4376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E52B-9518-4476-9603-D5055BD5DFE1}">
  <sheetPr>
    <pageSetUpPr fitToPage="1"/>
  </sheetPr>
  <dimension ref="A1:S91"/>
  <sheetViews>
    <sheetView tabSelected="1" zoomScale="106" zoomScaleNormal="106" workbookViewId="0">
      <selection activeCell="K5" sqref="K5"/>
    </sheetView>
  </sheetViews>
  <sheetFormatPr defaultRowHeight="15" x14ac:dyDescent="0.25"/>
  <cols>
    <col min="1" max="1" width="14.7109375" customWidth="1"/>
    <col min="3" max="3" width="12.7109375" customWidth="1"/>
  </cols>
  <sheetData>
    <row r="1" spans="1:13" x14ac:dyDescent="0.25">
      <c r="A1" t="s">
        <v>1</v>
      </c>
    </row>
    <row r="2" spans="1:13" x14ac:dyDescent="0.25">
      <c r="A2" t="s">
        <v>2</v>
      </c>
    </row>
    <row r="3" spans="1:13" x14ac:dyDescent="0.25">
      <c r="A3" t="s">
        <v>3</v>
      </c>
    </row>
    <row r="4" spans="1:13" x14ac:dyDescent="0.25">
      <c r="A4" t="s">
        <v>0</v>
      </c>
    </row>
    <row r="7" spans="1:13" x14ac:dyDescent="0.25">
      <c r="C7" t="s">
        <v>4</v>
      </c>
    </row>
    <row r="8" spans="1:13" x14ac:dyDescent="0.25">
      <c r="C8" s="1" t="s">
        <v>5</v>
      </c>
      <c r="D8" s="1"/>
      <c r="E8" s="1"/>
      <c r="F8" s="1"/>
      <c r="G8" s="1"/>
      <c r="H8" s="1"/>
      <c r="J8" t="s">
        <v>6</v>
      </c>
    </row>
    <row r="9" spans="1:13" x14ac:dyDescent="0.25">
      <c r="C9" s="2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3" t="s">
        <v>12</v>
      </c>
    </row>
    <row r="10" spans="1:13" x14ac:dyDescent="0.25">
      <c r="C10" s="1">
        <v>50</v>
      </c>
      <c r="D10" s="1">
        <v>36</v>
      </c>
      <c r="E10" s="1">
        <v>2500</v>
      </c>
      <c r="F10" s="1">
        <v>1800</v>
      </c>
      <c r="G10" s="1">
        <v>1296</v>
      </c>
      <c r="H10" s="1">
        <f>$L$13+$M$10*C10</f>
        <v>0</v>
      </c>
      <c r="K10" s="4" t="s">
        <v>13</v>
      </c>
      <c r="L10" s="4"/>
      <c r="M10" s="4"/>
    </row>
    <row r="11" spans="1:13" x14ac:dyDescent="0.25">
      <c r="C11" s="1">
        <v>240</v>
      </c>
      <c r="D11" s="1">
        <v>48</v>
      </c>
      <c r="E11" s="1">
        <v>57600</v>
      </c>
      <c r="F11" s="1">
        <v>11520</v>
      </c>
      <c r="G11" s="1">
        <v>2304</v>
      </c>
      <c r="H11" s="1">
        <f t="shared" ref="H11:H17" si="0">$L$13+$M$10*C11</f>
        <v>0</v>
      </c>
      <c r="K11" s="4"/>
      <c r="L11" s="4"/>
      <c r="M11" s="4"/>
    </row>
    <row r="12" spans="1:13" x14ac:dyDescent="0.25">
      <c r="C12" s="1">
        <v>150</v>
      </c>
      <c r="D12" s="1">
        <v>50</v>
      </c>
      <c r="E12" s="1">
        <v>22500</v>
      </c>
      <c r="F12" s="1">
        <v>7500</v>
      </c>
      <c r="G12" s="1">
        <v>2500</v>
      </c>
      <c r="H12" s="1">
        <f t="shared" si="0"/>
        <v>0</v>
      </c>
    </row>
    <row r="13" spans="1:13" x14ac:dyDescent="0.25">
      <c r="C13" s="1">
        <v>350</v>
      </c>
      <c r="D13" s="1">
        <v>70</v>
      </c>
      <c r="E13" s="1">
        <v>122500</v>
      </c>
      <c r="F13" s="1">
        <v>24500</v>
      </c>
      <c r="G13" s="1">
        <v>4900</v>
      </c>
      <c r="H13" s="1">
        <f t="shared" si="0"/>
        <v>0</v>
      </c>
      <c r="K13" s="5" t="s">
        <v>14</v>
      </c>
      <c r="L13" s="5"/>
    </row>
    <row r="14" spans="1:13" x14ac:dyDescent="0.25">
      <c r="C14" s="1">
        <v>100</v>
      </c>
      <c r="D14" s="1">
        <v>42</v>
      </c>
      <c r="E14" s="1">
        <v>10000</v>
      </c>
      <c r="F14" s="1">
        <v>4200</v>
      </c>
      <c r="G14" s="1">
        <v>1764</v>
      </c>
      <c r="H14" s="1">
        <f t="shared" si="0"/>
        <v>0</v>
      </c>
    </row>
    <row r="15" spans="1:13" x14ac:dyDescent="0.25">
      <c r="C15" s="1">
        <v>175</v>
      </c>
      <c r="D15" s="1">
        <v>58</v>
      </c>
      <c r="E15" s="1">
        <v>30625</v>
      </c>
      <c r="F15" s="1">
        <v>10150</v>
      </c>
      <c r="G15" s="1">
        <v>3364</v>
      </c>
      <c r="H15" s="1">
        <f t="shared" si="0"/>
        <v>0</v>
      </c>
      <c r="K15" t="s">
        <v>15</v>
      </c>
      <c r="L15" s="6"/>
      <c r="M15" s="7"/>
    </row>
    <row r="16" spans="1:13" x14ac:dyDescent="0.25">
      <c r="C16" s="1">
        <v>485</v>
      </c>
      <c r="D16" s="1">
        <v>91</v>
      </c>
      <c r="E16" s="1">
        <v>235225</v>
      </c>
      <c r="F16" s="1">
        <v>44135</v>
      </c>
      <c r="G16" s="1">
        <v>8281</v>
      </c>
      <c r="H16" s="1">
        <f t="shared" si="0"/>
        <v>0</v>
      </c>
    </row>
    <row r="17" spans="2:19" x14ac:dyDescent="0.25">
      <c r="B17">
        <v>8</v>
      </c>
      <c r="C17" s="1">
        <v>335</v>
      </c>
      <c r="D17" s="1">
        <v>69</v>
      </c>
      <c r="E17" s="1">
        <v>112225</v>
      </c>
      <c r="F17" s="1">
        <v>23115</v>
      </c>
      <c r="G17" s="1">
        <v>4761</v>
      </c>
      <c r="H17" s="1">
        <f t="shared" si="0"/>
        <v>0</v>
      </c>
    </row>
    <row r="18" spans="2:19" x14ac:dyDescent="0.25">
      <c r="B18" t="s">
        <v>17</v>
      </c>
      <c r="C18" s="8">
        <v>1885</v>
      </c>
      <c r="D18" s="8">
        <v>464</v>
      </c>
      <c r="E18" s="8">
        <v>593175</v>
      </c>
      <c r="F18" s="8">
        <v>126920</v>
      </c>
      <c r="G18" s="8">
        <v>29170</v>
      </c>
      <c r="H18" s="1"/>
      <c r="J18" t="s">
        <v>18</v>
      </c>
    </row>
    <row r="20" spans="2:19" x14ac:dyDescent="0.25">
      <c r="J20" t="s">
        <v>19</v>
      </c>
    </row>
    <row r="21" spans="2:19" x14ac:dyDescent="0.25">
      <c r="C21">
        <f>_xlfn.T.INV(0.025,6)</f>
        <v>-2.4469118511449697</v>
      </c>
      <c r="D21" t="s">
        <v>20</v>
      </c>
    </row>
    <row r="22" spans="2:19" x14ac:dyDescent="0.25">
      <c r="J22" t="s">
        <v>21</v>
      </c>
    </row>
    <row r="24" spans="2:19" x14ac:dyDescent="0.25">
      <c r="J24" t="s">
        <v>22</v>
      </c>
    </row>
    <row r="26" spans="2:19" x14ac:dyDescent="0.25">
      <c r="J26" t="s">
        <v>23</v>
      </c>
    </row>
    <row r="28" spans="2:19" ht="15" customHeight="1" x14ac:dyDescent="0.25">
      <c r="J28" s="9" t="s">
        <v>24</v>
      </c>
      <c r="K28" s="9"/>
      <c r="L28" s="9" t="s">
        <v>25</v>
      </c>
      <c r="M28" s="9"/>
      <c r="N28" s="10"/>
      <c r="O28" s="10"/>
      <c r="P28" s="24"/>
      <c r="Q28" s="25"/>
      <c r="R28" s="25"/>
      <c r="S28" s="11"/>
    </row>
    <row r="29" spans="2:19" x14ac:dyDescent="0.25">
      <c r="N29" s="10"/>
      <c r="O29" s="10"/>
      <c r="P29" s="26"/>
      <c r="Q29" s="27"/>
      <c r="R29" s="27"/>
      <c r="S29" s="12"/>
    </row>
    <row r="30" spans="2:19" x14ac:dyDescent="0.25">
      <c r="L30" t="s">
        <v>30</v>
      </c>
      <c r="P30" s="28"/>
      <c r="Q30" s="29"/>
      <c r="R30" s="29"/>
      <c r="S30" s="13"/>
    </row>
    <row r="33" spans="10:13" x14ac:dyDescent="0.25">
      <c r="J33" t="s">
        <v>31</v>
      </c>
    </row>
    <row r="35" spans="10:13" x14ac:dyDescent="0.25">
      <c r="J35" t="s">
        <v>32</v>
      </c>
    </row>
    <row r="37" spans="10:13" x14ac:dyDescent="0.25">
      <c r="J37" t="s">
        <v>33</v>
      </c>
    </row>
    <row r="39" spans="10:13" x14ac:dyDescent="0.25">
      <c r="J39" s="4" t="s">
        <v>34</v>
      </c>
      <c r="K39" s="4"/>
    </row>
    <row r="40" spans="10:13" x14ac:dyDescent="0.25">
      <c r="J40" t="s">
        <v>35</v>
      </c>
    </row>
    <row r="41" spans="10:13" x14ac:dyDescent="0.25">
      <c r="M41" t="s">
        <v>32</v>
      </c>
    </row>
    <row r="43" spans="10:13" x14ac:dyDescent="0.25">
      <c r="J43" t="s">
        <v>36</v>
      </c>
    </row>
    <row r="45" spans="10:13" x14ac:dyDescent="0.25">
      <c r="J45" t="s">
        <v>37</v>
      </c>
    </row>
    <row r="47" spans="10:13" x14ac:dyDescent="0.25">
      <c r="L47" t="s">
        <v>38</v>
      </c>
    </row>
    <row r="49" spans="10:14" x14ac:dyDescent="0.25">
      <c r="L49" t="s">
        <v>37</v>
      </c>
    </row>
    <row r="54" spans="10:14" x14ac:dyDescent="0.25">
      <c r="J54" t="s">
        <v>41</v>
      </c>
    </row>
    <row r="56" spans="10:14" x14ac:dyDescent="0.25">
      <c r="J56" t="s">
        <v>42</v>
      </c>
      <c r="N56" t="s">
        <v>43</v>
      </c>
    </row>
    <row r="60" spans="10:14" x14ac:dyDescent="0.25">
      <c r="J60" t="s">
        <v>44</v>
      </c>
    </row>
    <row r="63" spans="10:14" x14ac:dyDescent="0.25">
      <c r="J63" s="14" t="s">
        <v>44</v>
      </c>
      <c r="K63" s="14"/>
      <c r="M63" s="14" t="s">
        <v>46</v>
      </c>
      <c r="N63" s="14"/>
    </row>
    <row r="74" spans="1:2" x14ac:dyDescent="0.25">
      <c r="A74" t="s">
        <v>47</v>
      </c>
    </row>
    <row r="75" spans="1:2" ht="15.75" thickBot="1" x14ac:dyDescent="0.3"/>
    <row r="76" spans="1:2" x14ac:dyDescent="0.25">
      <c r="A76" s="15" t="s">
        <v>48</v>
      </c>
      <c r="B76" s="15"/>
    </row>
    <row r="77" spans="1:2" x14ac:dyDescent="0.25">
      <c r="A77" t="s">
        <v>49</v>
      </c>
      <c r="B77">
        <v>0.95891223284506455</v>
      </c>
    </row>
    <row r="78" spans="1:2" x14ac:dyDescent="0.25">
      <c r="A78" t="s">
        <v>50</v>
      </c>
      <c r="B78">
        <v>0.91951267029990724</v>
      </c>
    </row>
    <row r="79" spans="1:2" x14ac:dyDescent="0.25">
      <c r="A79" t="s">
        <v>51</v>
      </c>
      <c r="B79">
        <v>0.90609811534989182</v>
      </c>
    </row>
    <row r="80" spans="1:2" x14ac:dyDescent="0.25">
      <c r="A80" t="s">
        <v>52</v>
      </c>
      <c r="B80">
        <v>5.5036410745192077</v>
      </c>
    </row>
    <row r="81" spans="1:9" ht="15.75" thickBot="1" x14ac:dyDescent="0.3">
      <c r="A81" s="16" t="s">
        <v>53</v>
      </c>
      <c r="B81" s="16">
        <v>8</v>
      </c>
    </row>
    <row r="83" spans="1:9" ht="15.75" thickBot="1" x14ac:dyDescent="0.3">
      <c r="A83" t="s">
        <v>54</v>
      </c>
    </row>
    <row r="84" spans="1:9" x14ac:dyDescent="0.25">
      <c r="A84" s="17"/>
      <c r="B84" s="17" t="s">
        <v>55</v>
      </c>
      <c r="C84" s="17" t="s">
        <v>56</v>
      </c>
      <c r="D84" s="17" t="s">
        <v>57</v>
      </c>
      <c r="E84" s="17" t="s">
        <v>58</v>
      </c>
      <c r="F84" s="17" t="s">
        <v>59</v>
      </c>
    </row>
    <row r="85" spans="1:9" x14ac:dyDescent="0.25">
      <c r="A85" t="s">
        <v>60</v>
      </c>
      <c r="B85">
        <v>1</v>
      </c>
      <c r="C85">
        <v>2076.2596095371905</v>
      </c>
      <c r="D85">
        <v>2076.2596095371905</v>
      </c>
      <c r="E85">
        <v>68.545894643999844</v>
      </c>
      <c r="F85">
        <v>1.6811149262015634E-4</v>
      </c>
    </row>
    <row r="86" spans="1:9" x14ac:dyDescent="0.25">
      <c r="A86" t="s">
        <v>61</v>
      </c>
      <c r="B86">
        <v>6</v>
      </c>
      <c r="C86">
        <v>181.74039046280964</v>
      </c>
      <c r="D86">
        <v>30.29006507713494</v>
      </c>
    </row>
    <row r="87" spans="1:9" ht="15.75" thickBot="1" x14ac:dyDescent="0.3">
      <c r="A87" s="16" t="s">
        <v>62</v>
      </c>
      <c r="B87" s="16">
        <v>7</v>
      </c>
      <c r="C87" s="16">
        <v>2258</v>
      </c>
      <c r="D87" s="16"/>
      <c r="E87" s="16"/>
      <c r="F87" s="16"/>
    </row>
    <row r="88" spans="1:9" ht="15.75" thickBot="1" x14ac:dyDescent="0.3"/>
    <row r="89" spans="1:9" x14ac:dyDescent="0.25">
      <c r="A89" s="17"/>
      <c r="B89" s="17" t="s">
        <v>63</v>
      </c>
      <c r="C89" s="17" t="s">
        <v>52</v>
      </c>
      <c r="D89" s="17" t="s">
        <v>64</v>
      </c>
      <c r="E89" s="17" t="s">
        <v>65</v>
      </c>
      <c r="F89" s="18" t="s">
        <v>66</v>
      </c>
      <c r="G89" s="18" t="s">
        <v>67</v>
      </c>
      <c r="H89" s="18" t="s">
        <v>68</v>
      </c>
      <c r="I89" s="18" t="s">
        <v>69</v>
      </c>
    </row>
    <row r="90" spans="1:9" x14ac:dyDescent="0.25">
      <c r="A90" t="s">
        <v>70</v>
      </c>
      <c r="B90">
        <v>30.187682177532661</v>
      </c>
      <c r="C90">
        <v>3.8821428993530289</v>
      </c>
      <c r="D90">
        <v>7.7760358029488126</v>
      </c>
      <c r="E90">
        <v>2.381059086887018E-4</v>
      </c>
      <c r="F90">
        <v>20.68842070926744</v>
      </c>
      <c r="G90">
        <v>39.686943645797882</v>
      </c>
      <c r="H90">
        <v>22.643978649367348</v>
      </c>
      <c r="I90">
        <v>37.731385705697974</v>
      </c>
    </row>
    <row r="91" spans="1:9" ht="15.75" thickBot="1" x14ac:dyDescent="0.3">
      <c r="A91" s="16" t="s">
        <v>7</v>
      </c>
      <c r="B91" s="16">
        <v>0.11803636211126722</v>
      </c>
      <c r="C91" s="16">
        <v>1.4256899608935648E-2</v>
      </c>
      <c r="D91" s="16">
        <v>8.2792448112131485</v>
      </c>
      <c r="E91" s="16">
        <v>1.6811149262015634E-4</v>
      </c>
      <c r="F91" s="16">
        <v>8.3150985497578503E-2</v>
      </c>
      <c r="G91" s="16">
        <v>0.15292173872495596</v>
      </c>
      <c r="H91" s="16">
        <v>9.033263592989714E-2</v>
      </c>
      <c r="I91" s="16">
        <v>0.14574008829263732</v>
      </c>
    </row>
  </sheetData>
  <mergeCells count="1">
    <mergeCell ref="P28:R30"/>
  </mergeCells>
  <pageMargins left="0.511811024" right="0.511811024" top="0.78740157499999996" bottom="0.78740157499999996" header="0.31496062000000002" footer="0.31496062000000002"/>
  <pageSetup paperSize="9" scale="53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4BB8-6D9C-4A74-A24C-B5ED78BF78EC}">
  <dimension ref="A2:C8"/>
  <sheetViews>
    <sheetView workbookViewId="0">
      <selection activeCell="F7" sqref="F7"/>
    </sheetView>
  </sheetViews>
  <sheetFormatPr defaultRowHeight="15" x14ac:dyDescent="0.25"/>
  <sheetData>
    <row r="2" spans="1:3" x14ac:dyDescent="0.25">
      <c r="B2" s="4" t="s">
        <v>71</v>
      </c>
      <c r="C2" s="4" t="s">
        <v>72</v>
      </c>
    </row>
    <row r="3" spans="1:3" x14ac:dyDescent="0.25">
      <c r="B3" s="4">
        <v>5</v>
      </c>
      <c r="C3" s="4">
        <v>10</v>
      </c>
    </row>
    <row r="4" spans="1:3" x14ac:dyDescent="0.25">
      <c r="B4" s="4">
        <v>10</v>
      </c>
      <c r="C4" s="4">
        <v>15</v>
      </c>
    </row>
    <row r="5" spans="1:3" x14ac:dyDescent="0.25">
      <c r="B5" s="4">
        <v>15</v>
      </c>
      <c r="C5" s="4">
        <v>25</v>
      </c>
    </row>
    <row r="6" spans="1:3" x14ac:dyDescent="0.25">
      <c r="B6" s="4">
        <v>20</v>
      </c>
      <c r="C6" s="4">
        <v>40</v>
      </c>
    </row>
    <row r="7" spans="1:3" x14ac:dyDescent="0.25">
      <c r="B7" s="4">
        <v>25</v>
      </c>
      <c r="C7" s="4">
        <v>60</v>
      </c>
    </row>
    <row r="8" spans="1:3" x14ac:dyDescent="0.25">
      <c r="A8" s="4" t="s">
        <v>17</v>
      </c>
      <c r="B8" s="4">
        <v>75</v>
      </c>
      <c r="C8" s="4">
        <v>150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3703-9E69-410B-B4F0-CC9CCFCF9FC7}">
  <dimension ref="A1:N14"/>
  <sheetViews>
    <sheetView workbookViewId="0">
      <selection sqref="A1:N14"/>
    </sheetView>
  </sheetViews>
  <sheetFormatPr defaultRowHeight="15" x14ac:dyDescent="0.25"/>
  <sheetData>
    <row r="1" spans="1:14" x14ac:dyDescent="0.25">
      <c r="A1" s="19"/>
      <c r="B1" s="20" t="s">
        <v>73</v>
      </c>
      <c r="C1" s="20" t="s">
        <v>74</v>
      </c>
      <c r="D1" s="20" t="s">
        <v>9</v>
      </c>
      <c r="E1" s="20" t="s">
        <v>11</v>
      </c>
      <c r="F1" s="20" t="s">
        <v>10</v>
      </c>
      <c r="G1" s="21" t="s">
        <v>75</v>
      </c>
    </row>
    <row r="2" spans="1:14" x14ac:dyDescent="0.25">
      <c r="A2" s="19"/>
      <c r="B2" s="1">
        <v>10</v>
      </c>
      <c r="C2" s="1">
        <v>4</v>
      </c>
      <c r="D2" s="1">
        <f>B2^2</f>
        <v>100</v>
      </c>
      <c r="E2" s="1">
        <f>C2^2</f>
        <v>16</v>
      </c>
      <c r="F2" s="1">
        <f>B2*C2</f>
        <v>40</v>
      </c>
    </row>
    <row r="3" spans="1:14" x14ac:dyDescent="0.25">
      <c r="A3" s="19"/>
      <c r="B3" s="1">
        <v>13</v>
      </c>
      <c r="C3" s="1">
        <v>3</v>
      </c>
      <c r="D3" s="1">
        <f t="shared" ref="D3:E6" si="0">B3^2</f>
        <v>169</v>
      </c>
      <c r="E3" s="1">
        <f t="shared" si="0"/>
        <v>9</v>
      </c>
      <c r="F3" s="1">
        <f t="shared" ref="F3:F6" si="1">B3*C3</f>
        <v>39</v>
      </c>
      <c r="G3" t="s">
        <v>76</v>
      </c>
    </row>
    <row r="4" spans="1:14" x14ac:dyDescent="0.25">
      <c r="A4" s="19"/>
      <c r="B4" s="1">
        <v>5</v>
      </c>
      <c r="C4" s="1">
        <v>6</v>
      </c>
      <c r="D4" s="1">
        <f t="shared" si="0"/>
        <v>25</v>
      </c>
      <c r="E4" s="1">
        <f t="shared" si="0"/>
        <v>36</v>
      </c>
      <c r="F4" s="1">
        <f t="shared" si="1"/>
        <v>30</v>
      </c>
    </row>
    <row r="5" spans="1:14" x14ac:dyDescent="0.25">
      <c r="A5" s="19"/>
      <c r="B5" s="1">
        <v>7</v>
      </c>
      <c r="C5" s="1">
        <v>5</v>
      </c>
      <c r="D5" s="1">
        <f t="shared" si="0"/>
        <v>49</v>
      </c>
      <c r="E5" s="1">
        <f t="shared" si="0"/>
        <v>25</v>
      </c>
      <c r="F5" s="1">
        <f t="shared" si="1"/>
        <v>35</v>
      </c>
      <c r="G5" s="30" t="s">
        <v>77</v>
      </c>
      <c r="H5" s="30"/>
      <c r="I5" s="30"/>
      <c r="J5" s="30"/>
      <c r="K5" s="30"/>
      <c r="L5" s="30"/>
      <c r="M5" s="30"/>
      <c r="N5" s="30"/>
    </row>
    <row r="6" spans="1:14" x14ac:dyDescent="0.25">
      <c r="A6" s="19"/>
      <c r="B6" s="1">
        <v>20</v>
      </c>
      <c r="C6" s="1">
        <v>2</v>
      </c>
      <c r="D6" s="1">
        <f t="shared" si="0"/>
        <v>400</v>
      </c>
      <c r="E6" s="1">
        <f t="shared" si="0"/>
        <v>4</v>
      </c>
      <c r="F6" s="1">
        <f t="shared" si="1"/>
        <v>40</v>
      </c>
      <c r="G6" s="30" t="s">
        <v>78</v>
      </c>
      <c r="H6" s="30"/>
      <c r="I6" s="30"/>
      <c r="J6" s="30"/>
      <c r="K6" s="30"/>
      <c r="L6" s="30"/>
      <c r="M6" s="30"/>
      <c r="N6" s="30"/>
    </row>
    <row r="7" spans="1:14" x14ac:dyDescent="0.25">
      <c r="A7" s="22" t="s">
        <v>17</v>
      </c>
      <c r="B7" s="23">
        <f>SUM(B2:B6)</f>
        <v>55</v>
      </c>
      <c r="C7" s="23">
        <f t="shared" ref="C7:F7" si="2">SUM(C2:C6)</f>
        <v>20</v>
      </c>
      <c r="D7" s="23">
        <f t="shared" si="2"/>
        <v>743</v>
      </c>
      <c r="E7" s="23">
        <f t="shared" si="2"/>
        <v>90</v>
      </c>
      <c r="F7" s="23">
        <f t="shared" si="2"/>
        <v>184</v>
      </c>
      <c r="G7" s="30" t="s">
        <v>79</v>
      </c>
      <c r="H7" s="30"/>
      <c r="I7" s="30"/>
      <c r="J7" s="30"/>
      <c r="K7" s="30"/>
      <c r="L7" s="30"/>
      <c r="M7" s="30"/>
      <c r="N7" s="30"/>
    </row>
    <row r="8" spans="1:14" x14ac:dyDescent="0.25">
      <c r="G8" s="30" t="s">
        <v>80</v>
      </c>
      <c r="H8" s="30"/>
      <c r="I8" s="30"/>
      <c r="J8" s="30"/>
      <c r="K8" s="30"/>
      <c r="L8" s="30"/>
      <c r="M8" s="30"/>
      <c r="N8" s="30"/>
    </row>
    <row r="9" spans="1:14" x14ac:dyDescent="0.25">
      <c r="G9" s="30" t="s">
        <v>81</v>
      </c>
      <c r="H9" s="30"/>
      <c r="I9" s="30"/>
      <c r="J9" s="30"/>
      <c r="K9" s="30"/>
      <c r="L9" s="30"/>
      <c r="M9" s="30"/>
      <c r="N9" s="30"/>
    </row>
    <row r="10" spans="1:14" x14ac:dyDescent="0.25">
      <c r="G10" s="30" t="s">
        <v>82</v>
      </c>
      <c r="H10" s="30"/>
      <c r="I10" s="30"/>
      <c r="J10" s="30"/>
      <c r="K10" s="30"/>
      <c r="L10" s="30"/>
      <c r="M10" s="30"/>
      <c r="N10" s="30"/>
    </row>
    <row r="11" spans="1:14" x14ac:dyDescent="0.25">
      <c r="G11" s="30" t="s">
        <v>83</v>
      </c>
      <c r="H11" s="30"/>
      <c r="I11" s="30"/>
      <c r="J11" s="30"/>
      <c r="K11" s="30"/>
      <c r="L11" s="30"/>
      <c r="M11" s="30"/>
      <c r="N11" s="30"/>
    </row>
    <row r="12" spans="1:14" x14ac:dyDescent="0.25">
      <c r="G12" s="30" t="s">
        <v>84</v>
      </c>
      <c r="H12" s="30" t="s">
        <v>85</v>
      </c>
      <c r="I12" s="30"/>
      <c r="J12" s="30"/>
      <c r="K12" s="30"/>
      <c r="L12" s="30"/>
      <c r="M12" s="30"/>
      <c r="N12" s="30"/>
    </row>
    <row r="13" spans="1:14" x14ac:dyDescent="0.25">
      <c r="G13" s="30" t="s">
        <v>86</v>
      </c>
      <c r="H13" s="30"/>
      <c r="I13" s="30"/>
      <c r="J13" s="30"/>
      <c r="K13" s="30"/>
      <c r="L13" s="30"/>
      <c r="M13" s="30"/>
      <c r="N13" s="30"/>
    </row>
    <row r="14" spans="1:14" x14ac:dyDescent="0.25">
      <c r="G14" t="s">
        <v>87</v>
      </c>
    </row>
  </sheetData>
  <mergeCells count="9">
    <mergeCell ref="G11:N11"/>
    <mergeCell ref="G12:N12"/>
    <mergeCell ref="G13:N13"/>
    <mergeCell ref="G5:N5"/>
    <mergeCell ref="G6:N6"/>
    <mergeCell ref="G7:N7"/>
    <mergeCell ref="G8:N8"/>
    <mergeCell ref="G9:N9"/>
    <mergeCell ref="G10:N1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DE043-1136-4D8F-AFAA-D8C87E00D9B5}">
  <dimension ref="A2:Q29"/>
  <sheetViews>
    <sheetView workbookViewId="0">
      <selection activeCell="G10" sqref="G10"/>
    </sheetView>
  </sheetViews>
  <sheetFormatPr defaultRowHeight="15" x14ac:dyDescent="0.25"/>
  <cols>
    <col min="1" max="1" width="16.5703125" customWidth="1"/>
    <col min="2" max="3" width="12.140625" customWidth="1"/>
    <col min="4" max="5" width="9.28515625" bestFit="1" customWidth="1"/>
    <col min="6" max="9" width="10.7109375" customWidth="1"/>
  </cols>
  <sheetData>
    <row r="2" spans="1:17" ht="15" customHeight="1" x14ac:dyDescent="0.25">
      <c r="A2" s="33" t="s">
        <v>88</v>
      </c>
      <c r="B2" s="33"/>
      <c r="C2" s="33"/>
      <c r="D2" s="33"/>
      <c r="E2" s="33"/>
      <c r="F2" s="33"/>
      <c r="G2" s="33"/>
      <c r="H2" s="33"/>
      <c r="I2" s="33"/>
      <c r="M2" s="20" t="s">
        <v>73</v>
      </c>
      <c r="N2" s="20" t="s">
        <v>74</v>
      </c>
      <c r="O2" s="20" t="s">
        <v>9</v>
      </c>
      <c r="P2" s="20" t="s">
        <v>11</v>
      </c>
      <c r="Q2" s="20" t="s">
        <v>10</v>
      </c>
    </row>
    <row r="3" spans="1:17" x14ac:dyDescent="0.25">
      <c r="A3" t="s">
        <v>47</v>
      </c>
      <c r="M3" s="1">
        <v>10</v>
      </c>
      <c r="N3" s="1">
        <v>1200</v>
      </c>
      <c r="O3" s="1">
        <f>M3^2</f>
        <v>100</v>
      </c>
      <c r="P3" s="1">
        <f>N3^2</f>
        <v>1440000</v>
      </c>
      <c r="Q3" s="1">
        <f>M3*N3</f>
        <v>12000</v>
      </c>
    </row>
    <row r="4" spans="1:17" ht="15.75" thickBot="1" x14ac:dyDescent="0.3">
      <c r="D4" s="20" t="s">
        <v>73</v>
      </c>
      <c r="E4" s="20" t="s">
        <v>74</v>
      </c>
      <c r="M4" s="1">
        <v>13</v>
      </c>
      <c r="N4" s="1">
        <v>900</v>
      </c>
      <c r="O4" s="1">
        <f t="shared" ref="O4:P7" si="0">M4^2</f>
        <v>169</v>
      </c>
      <c r="P4" s="1">
        <f t="shared" si="0"/>
        <v>810000</v>
      </c>
      <c r="Q4" s="1">
        <f t="shared" ref="Q4:Q7" si="1">M4*N4</f>
        <v>11700</v>
      </c>
    </row>
    <row r="5" spans="1:17" x14ac:dyDescent="0.25">
      <c r="A5" s="15" t="s">
        <v>48</v>
      </c>
      <c r="B5" s="15"/>
      <c r="D5" s="1">
        <v>10</v>
      </c>
      <c r="E5" s="1">
        <v>1200</v>
      </c>
      <c r="M5" s="1">
        <v>5</v>
      </c>
      <c r="N5" s="1">
        <v>1800</v>
      </c>
      <c r="O5" s="1">
        <f t="shared" si="0"/>
        <v>25</v>
      </c>
      <c r="P5" s="1">
        <f t="shared" si="0"/>
        <v>3240000</v>
      </c>
      <c r="Q5" s="1">
        <f t="shared" si="1"/>
        <v>9000</v>
      </c>
    </row>
    <row r="6" spans="1:17" x14ac:dyDescent="0.25">
      <c r="A6" t="s">
        <v>49</v>
      </c>
      <c r="D6" s="1">
        <v>13</v>
      </c>
      <c r="E6" s="1">
        <v>900</v>
      </c>
      <c r="M6" s="1">
        <v>7</v>
      </c>
      <c r="N6" s="1">
        <v>1500</v>
      </c>
      <c r="O6" s="1">
        <f t="shared" si="0"/>
        <v>49</v>
      </c>
      <c r="P6" s="1">
        <f t="shared" si="0"/>
        <v>2250000</v>
      </c>
      <c r="Q6" s="1">
        <f t="shared" si="1"/>
        <v>10500</v>
      </c>
    </row>
    <row r="7" spans="1:17" x14ac:dyDescent="0.25">
      <c r="A7" t="s">
        <v>50</v>
      </c>
      <c r="D7" s="1">
        <v>5</v>
      </c>
      <c r="E7" s="1">
        <v>1800</v>
      </c>
      <c r="M7" s="1">
        <v>20</v>
      </c>
      <c r="N7" s="1">
        <v>600</v>
      </c>
      <c r="O7" s="1">
        <f t="shared" si="0"/>
        <v>400</v>
      </c>
      <c r="P7" s="1">
        <f t="shared" si="0"/>
        <v>360000</v>
      </c>
      <c r="Q7" s="1">
        <f t="shared" si="1"/>
        <v>12000</v>
      </c>
    </row>
    <row r="8" spans="1:17" x14ac:dyDescent="0.25">
      <c r="A8" t="s">
        <v>51</v>
      </c>
      <c r="D8" s="1">
        <v>7</v>
      </c>
      <c r="E8" s="1">
        <v>1500</v>
      </c>
      <c r="M8" s="23">
        <f>SUM(M3:M7)</f>
        <v>55</v>
      </c>
      <c r="N8" s="23">
        <f t="shared" ref="N8:Q8" si="2">SUM(N3:N7)</f>
        <v>6000</v>
      </c>
      <c r="O8" s="23">
        <f t="shared" si="2"/>
        <v>743</v>
      </c>
      <c r="P8" s="23">
        <f t="shared" si="2"/>
        <v>8100000</v>
      </c>
      <c r="Q8" s="23">
        <f t="shared" si="2"/>
        <v>55200</v>
      </c>
    </row>
    <row r="9" spans="1:17" x14ac:dyDescent="0.25">
      <c r="A9" t="s">
        <v>52</v>
      </c>
      <c r="D9" s="1">
        <v>20</v>
      </c>
      <c r="E9" s="1">
        <v>600</v>
      </c>
    </row>
    <row r="10" spans="1:17" ht="15.75" thickBot="1" x14ac:dyDescent="0.3">
      <c r="A10" s="16" t="s">
        <v>53</v>
      </c>
      <c r="B10" s="16"/>
      <c r="C10" s="23" t="s">
        <v>17</v>
      </c>
      <c r="D10" s="23">
        <f>SUM(D5:D9)</f>
        <v>55</v>
      </c>
      <c r="E10" s="23">
        <f t="shared" ref="E10" si="3">SUM(E5:E9)</f>
        <v>6000</v>
      </c>
    </row>
    <row r="18" spans="1:9" ht="32.25" customHeight="1" x14ac:dyDescent="0.25"/>
    <row r="21" spans="1:9" ht="20.100000000000001" customHeight="1" x14ac:dyDescent="0.25">
      <c r="A21" s="34" t="s">
        <v>89</v>
      </c>
      <c r="B21" s="34"/>
      <c r="C21" s="34"/>
      <c r="D21" s="34"/>
      <c r="E21" s="34"/>
      <c r="F21" s="34"/>
      <c r="G21" s="34"/>
      <c r="H21" s="34"/>
      <c r="I21" s="34"/>
    </row>
    <row r="22" spans="1:9" ht="20.100000000000001" customHeight="1" x14ac:dyDescent="0.25">
      <c r="A22" s="31" t="s">
        <v>90</v>
      </c>
      <c r="B22" s="31"/>
      <c r="C22" s="31"/>
      <c r="D22" s="32"/>
      <c r="E22" s="32"/>
      <c r="F22" s="32"/>
      <c r="G22" s="32"/>
      <c r="H22" s="32"/>
      <c r="I22" s="32"/>
    </row>
    <row r="23" spans="1:9" ht="20.100000000000001" customHeight="1" x14ac:dyDescent="0.25">
      <c r="A23" s="31" t="s">
        <v>91</v>
      </c>
      <c r="B23" s="31"/>
      <c r="C23" s="31"/>
      <c r="D23" s="32"/>
      <c r="E23" s="32"/>
      <c r="F23" s="32"/>
      <c r="G23" s="32"/>
      <c r="H23" s="32"/>
      <c r="I23" s="32"/>
    </row>
    <row r="24" spans="1:9" ht="20.100000000000001" customHeight="1" x14ac:dyDescent="0.25">
      <c r="A24" s="31" t="s">
        <v>92</v>
      </c>
      <c r="B24" s="31"/>
      <c r="C24" s="31"/>
      <c r="D24" s="32"/>
      <c r="E24" s="32"/>
      <c r="F24" s="32"/>
      <c r="G24" s="32"/>
      <c r="H24" s="32"/>
      <c r="I24" s="32"/>
    </row>
    <row r="25" spans="1:9" ht="20.100000000000001" customHeight="1" x14ac:dyDescent="0.25">
      <c r="A25" s="31" t="s">
        <v>92</v>
      </c>
      <c r="B25" s="31"/>
      <c r="C25" s="31"/>
      <c r="D25" s="32"/>
      <c r="E25" s="32"/>
      <c r="F25" s="32"/>
      <c r="G25" s="32"/>
      <c r="H25" s="32"/>
      <c r="I25" s="32"/>
    </row>
    <row r="26" spans="1:9" ht="20.100000000000001" customHeight="1" x14ac:dyDescent="0.25">
      <c r="A26" s="31" t="s">
        <v>82</v>
      </c>
      <c r="B26" s="31"/>
      <c r="C26" s="31"/>
      <c r="D26" s="32"/>
      <c r="E26" s="32"/>
      <c r="F26" s="32"/>
      <c r="G26" s="32"/>
      <c r="H26" s="32"/>
      <c r="I26" s="32"/>
    </row>
    <row r="27" spans="1:9" ht="20.100000000000001" customHeight="1" x14ac:dyDescent="0.25">
      <c r="A27" s="31" t="s">
        <v>83</v>
      </c>
      <c r="B27" s="31"/>
      <c r="C27" s="31"/>
      <c r="D27" s="32"/>
      <c r="E27" s="32"/>
      <c r="F27" s="32"/>
      <c r="G27" s="32"/>
      <c r="H27" s="32"/>
      <c r="I27" s="32"/>
    </row>
    <row r="29" spans="1:9" x14ac:dyDescent="0.25">
      <c r="B29">
        <v>6</v>
      </c>
      <c r="C29">
        <v>0.3</v>
      </c>
      <c r="D29">
        <f>B29*C29</f>
        <v>1.7999999999999998</v>
      </c>
    </row>
  </sheetData>
  <mergeCells count="14">
    <mergeCell ref="A2:I2"/>
    <mergeCell ref="A21:I21"/>
    <mergeCell ref="A22:C22"/>
    <mergeCell ref="D22:I22"/>
    <mergeCell ref="A23:C23"/>
    <mergeCell ref="D23:I23"/>
    <mergeCell ref="A27:C27"/>
    <mergeCell ref="D27:I27"/>
    <mergeCell ref="A24:C24"/>
    <mergeCell ref="D24:I24"/>
    <mergeCell ref="A25:C25"/>
    <mergeCell ref="D25:I25"/>
    <mergeCell ref="A26:C26"/>
    <mergeCell ref="D26:I2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6A85-BF80-4888-8C1A-C89355E65D42}">
  <sheetPr>
    <pageSetUpPr fitToPage="1"/>
  </sheetPr>
  <dimension ref="A1:S91"/>
  <sheetViews>
    <sheetView zoomScale="106" zoomScaleNormal="106" workbookViewId="0">
      <selection activeCell="E15" sqref="E14:E15"/>
    </sheetView>
  </sheetViews>
  <sheetFormatPr defaultRowHeight="15" x14ac:dyDescent="0.25"/>
  <cols>
    <col min="1" max="1" width="14.7109375" customWidth="1"/>
    <col min="3" max="3" width="12.7109375" customWidth="1"/>
  </cols>
  <sheetData>
    <row r="1" spans="1:13" x14ac:dyDescent="0.25">
      <c r="A1" t="s">
        <v>1</v>
      </c>
    </row>
    <row r="2" spans="1:13" x14ac:dyDescent="0.25">
      <c r="A2" t="s">
        <v>2</v>
      </c>
    </row>
    <row r="3" spans="1:13" x14ac:dyDescent="0.25">
      <c r="A3" t="s">
        <v>3</v>
      </c>
    </row>
    <row r="4" spans="1:13" x14ac:dyDescent="0.25">
      <c r="A4" t="s">
        <v>0</v>
      </c>
    </row>
    <row r="7" spans="1:13" x14ac:dyDescent="0.25">
      <c r="C7" t="s">
        <v>4</v>
      </c>
    </row>
    <row r="8" spans="1:13" x14ac:dyDescent="0.25">
      <c r="C8" s="1" t="s">
        <v>5</v>
      </c>
      <c r="D8" s="1"/>
      <c r="E8" s="1"/>
      <c r="F8" s="1"/>
      <c r="G8" s="1"/>
      <c r="H8" s="1"/>
      <c r="J8" t="s">
        <v>6</v>
      </c>
    </row>
    <row r="9" spans="1:13" x14ac:dyDescent="0.25">
      <c r="C9" s="2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3" t="s">
        <v>12</v>
      </c>
    </row>
    <row r="10" spans="1:13" x14ac:dyDescent="0.25">
      <c r="C10" s="1">
        <v>50</v>
      </c>
      <c r="D10" s="1">
        <v>36</v>
      </c>
      <c r="E10" s="1">
        <v>2500</v>
      </c>
      <c r="F10" s="1">
        <v>1800</v>
      </c>
      <c r="G10" s="1">
        <v>1296</v>
      </c>
      <c r="H10" s="1">
        <f>$L$13+$M$10*C10</f>
        <v>36.089500283096022</v>
      </c>
      <c r="K10" s="4" t="s">
        <v>13</v>
      </c>
      <c r="L10" s="4">
        <f>B17*F18-C18*D18</f>
        <v>140720</v>
      </c>
      <c r="M10" s="4">
        <f>L10/L11</f>
        <v>0.11803636211126722</v>
      </c>
    </row>
    <row r="11" spans="1:13" x14ac:dyDescent="0.25">
      <c r="C11" s="1">
        <v>240</v>
      </c>
      <c r="D11" s="1">
        <v>48</v>
      </c>
      <c r="E11" s="1">
        <v>57600</v>
      </c>
      <c r="F11" s="1">
        <v>11520</v>
      </c>
      <c r="G11" s="1">
        <v>2304</v>
      </c>
      <c r="H11" s="1">
        <f t="shared" ref="H11:H17" si="0">$L$13+$M$10*C11</f>
        <v>58.516409084236798</v>
      </c>
      <c r="K11" s="4"/>
      <c r="L11" s="4">
        <f>B17*E18-C18^2</f>
        <v>1192175</v>
      </c>
      <c r="M11" s="4"/>
    </row>
    <row r="12" spans="1:13" x14ac:dyDescent="0.25">
      <c r="C12" s="1">
        <v>150</v>
      </c>
      <c r="D12" s="1">
        <v>50</v>
      </c>
      <c r="E12" s="1">
        <v>22500</v>
      </c>
      <c r="F12" s="1">
        <v>7500</v>
      </c>
      <c r="G12" s="1">
        <v>2500</v>
      </c>
      <c r="H12" s="1">
        <f t="shared" si="0"/>
        <v>47.893136494222745</v>
      </c>
    </row>
    <row r="13" spans="1:13" x14ac:dyDescent="0.25">
      <c r="C13" s="1">
        <v>350</v>
      </c>
      <c r="D13" s="1">
        <v>70</v>
      </c>
      <c r="E13" s="1">
        <v>122500</v>
      </c>
      <c r="F13" s="1">
        <v>24500</v>
      </c>
      <c r="G13" s="1">
        <v>4900</v>
      </c>
      <c r="H13" s="1">
        <f t="shared" si="0"/>
        <v>71.500408916476189</v>
      </c>
      <c r="K13" s="5" t="s">
        <v>14</v>
      </c>
      <c r="L13" s="5">
        <f>(D18-M10*C18)/B17</f>
        <v>30.187682177532661</v>
      </c>
    </row>
    <row r="14" spans="1:13" x14ac:dyDescent="0.25">
      <c r="C14" s="1">
        <v>100</v>
      </c>
      <c r="D14" s="1">
        <v>42</v>
      </c>
      <c r="E14" s="1">
        <v>10000</v>
      </c>
      <c r="F14" s="1">
        <v>4200</v>
      </c>
      <c r="G14" s="1">
        <v>1764</v>
      </c>
      <c r="H14" s="1">
        <f t="shared" si="0"/>
        <v>41.99131838865938</v>
      </c>
    </row>
    <row r="15" spans="1:13" x14ac:dyDescent="0.25">
      <c r="C15" s="1">
        <v>175</v>
      </c>
      <c r="D15" s="1">
        <v>58</v>
      </c>
      <c r="E15" s="1">
        <v>30625</v>
      </c>
      <c r="F15" s="1">
        <v>10150</v>
      </c>
      <c r="G15" s="1">
        <v>3364</v>
      </c>
      <c r="H15" s="1">
        <f t="shared" si="0"/>
        <v>50.844045547004427</v>
      </c>
      <c r="K15" t="s">
        <v>15</v>
      </c>
      <c r="L15" s="6" t="s">
        <v>16</v>
      </c>
      <c r="M15" s="7"/>
    </row>
    <row r="16" spans="1:13" x14ac:dyDescent="0.25">
      <c r="C16" s="1">
        <v>485</v>
      </c>
      <c r="D16" s="1">
        <v>91</v>
      </c>
      <c r="E16" s="1">
        <v>235225</v>
      </c>
      <c r="F16" s="1">
        <v>44135</v>
      </c>
      <c r="G16" s="1">
        <v>8281</v>
      </c>
      <c r="H16" s="1">
        <f t="shared" si="0"/>
        <v>87.435317801497263</v>
      </c>
    </row>
    <row r="17" spans="2:19" x14ac:dyDescent="0.25">
      <c r="B17">
        <v>8</v>
      </c>
      <c r="C17" s="1">
        <v>335</v>
      </c>
      <c r="D17" s="1">
        <v>69</v>
      </c>
      <c r="E17" s="1">
        <v>112225</v>
      </c>
      <c r="F17" s="1">
        <v>23115</v>
      </c>
      <c r="G17" s="1">
        <v>4761</v>
      </c>
      <c r="H17" s="1">
        <f t="shared" si="0"/>
        <v>69.729863484807183</v>
      </c>
    </row>
    <row r="18" spans="2:19" x14ac:dyDescent="0.25">
      <c r="B18" t="s">
        <v>17</v>
      </c>
      <c r="C18" s="8">
        <v>1885</v>
      </c>
      <c r="D18" s="8">
        <v>464</v>
      </c>
      <c r="E18" s="8">
        <v>593175</v>
      </c>
      <c r="F18" s="8">
        <v>126920</v>
      </c>
      <c r="G18" s="8">
        <v>29170</v>
      </c>
      <c r="H18" s="1"/>
      <c r="J18" t="s">
        <v>18</v>
      </c>
    </row>
    <row r="20" spans="2:19" x14ac:dyDescent="0.25">
      <c r="J20" t="s">
        <v>19</v>
      </c>
      <c r="K20">
        <f>G18-D18^2/8</f>
        <v>2258</v>
      </c>
    </row>
    <row r="21" spans="2:19" x14ac:dyDescent="0.25">
      <c r="C21">
        <f>_xlfn.T.INV(0.025,6)</f>
        <v>-2.4469118511449697</v>
      </c>
      <c r="D21" t="s">
        <v>20</v>
      </c>
    </row>
    <row r="22" spans="2:19" x14ac:dyDescent="0.25">
      <c r="J22" t="s">
        <v>21</v>
      </c>
      <c r="K22">
        <f>E18-C18^2/8</f>
        <v>149021.875</v>
      </c>
    </row>
    <row r="24" spans="2:19" x14ac:dyDescent="0.25">
      <c r="J24" t="s">
        <v>22</v>
      </c>
      <c r="K24">
        <f>F18-(C18*D18)/8</f>
        <v>17590</v>
      </c>
    </row>
    <row r="26" spans="2:19" x14ac:dyDescent="0.25">
      <c r="J26" t="s">
        <v>23</v>
      </c>
      <c r="K26">
        <f>(K20-M10*K24)/6</f>
        <v>30.290065077134916</v>
      </c>
    </row>
    <row r="28" spans="2:19" ht="15" customHeight="1" x14ac:dyDescent="0.25">
      <c r="J28" s="9" t="s">
        <v>24</v>
      </c>
      <c r="K28" s="9">
        <f>SQRT(K26)</f>
        <v>5.5036410745192059</v>
      </c>
      <c r="L28" s="9" t="s">
        <v>25</v>
      </c>
      <c r="M28" s="9">
        <f>M10*SQRT(K22)/K28</f>
        <v>8.2792448112131503</v>
      </c>
      <c r="N28" s="10" t="s">
        <v>26</v>
      </c>
      <c r="O28" s="10" t="s">
        <v>27</v>
      </c>
      <c r="P28" s="24" t="s">
        <v>28</v>
      </c>
      <c r="Q28" s="25"/>
      <c r="R28" s="25"/>
      <c r="S28" s="11"/>
    </row>
    <row r="29" spans="2:19" x14ac:dyDescent="0.25">
      <c r="N29" s="10"/>
      <c r="O29" s="10" t="s">
        <v>29</v>
      </c>
      <c r="P29" s="26"/>
      <c r="Q29" s="27"/>
      <c r="R29" s="27"/>
      <c r="S29" s="12"/>
    </row>
    <row r="30" spans="2:19" x14ac:dyDescent="0.25">
      <c r="L30" t="s">
        <v>30</v>
      </c>
      <c r="P30" s="28"/>
      <c r="Q30" s="29"/>
      <c r="R30" s="29"/>
      <c r="S30" s="13"/>
    </row>
    <row r="33" spans="10:14" x14ac:dyDescent="0.25">
      <c r="J33" t="s">
        <v>31</v>
      </c>
    </row>
    <row r="35" spans="10:14" x14ac:dyDescent="0.25">
      <c r="J35" t="s">
        <v>32</v>
      </c>
    </row>
    <row r="37" spans="10:14" x14ac:dyDescent="0.25">
      <c r="J37" t="s">
        <v>33</v>
      </c>
      <c r="K37">
        <v>1885</v>
      </c>
      <c r="L37">
        <f>K37/K38</f>
        <v>235.625</v>
      </c>
    </row>
    <row r="38" spans="10:14" x14ac:dyDescent="0.25">
      <c r="K38">
        <v>8</v>
      </c>
    </row>
    <row r="39" spans="10:14" x14ac:dyDescent="0.25">
      <c r="J39" s="4" t="s">
        <v>34</v>
      </c>
      <c r="K39" s="4">
        <f>+K28*SQRT((1/8)+(L37^2/K22))</f>
        <v>3.882142899353028</v>
      </c>
    </row>
    <row r="40" spans="10:14" x14ac:dyDescent="0.25">
      <c r="J40" t="s">
        <v>35</v>
      </c>
      <c r="K40">
        <v>2.4500000000000002</v>
      </c>
      <c r="N40">
        <f>30.1877+2.45*$K$39</f>
        <v>39.698950103414916</v>
      </c>
    </row>
    <row r="41" spans="10:14" x14ac:dyDescent="0.25">
      <c r="M41" t="s">
        <v>32</v>
      </c>
      <c r="N41">
        <f>30.1877-2.45*$K$39</f>
        <v>20.67644989658508</v>
      </c>
    </row>
    <row r="43" spans="10:14" x14ac:dyDescent="0.25">
      <c r="J43" t="s">
        <v>36</v>
      </c>
    </row>
    <row r="45" spans="10:14" x14ac:dyDescent="0.25">
      <c r="J45" t="s">
        <v>37</v>
      </c>
    </row>
    <row r="47" spans="10:14" x14ac:dyDescent="0.25">
      <c r="L47" t="s">
        <v>38</v>
      </c>
      <c r="M47">
        <f>+K28/SQRT(K22)</f>
        <v>1.4256899608935641E-2</v>
      </c>
    </row>
    <row r="49" spans="10:15" x14ac:dyDescent="0.25">
      <c r="L49" t="s">
        <v>37</v>
      </c>
    </row>
    <row r="50" spans="10:15" x14ac:dyDescent="0.25">
      <c r="L50" t="s">
        <v>39</v>
      </c>
      <c r="O50">
        <f>0.118+2.447*0.014257</f>
        <v>0.152886879</v>
      </c>
    </row>
    <row r="51" spans="10:15" x14ac:dyDescent="0.25">
      <c r="L51" t="s">
        <v>40</v>
      </c>
      <c r="O51">
        <f>0.118-2.447*0.014257</f>
        <v>8.3113120999999984E-2</v>
      </c>
    </row>
    <row r="54" spans="10:15" x14ac:dyDescent="0.25">
      <c r="J54" t="s">
        <v>41</v>
      </c>
    </row>
    <row r="56" spans="10:15" x14ac:dyDescent="0.25">
      <c r="J56" t="s">
        <v>42</v>
      </c>
      <c r="N56" t="s">
        <v>43</v>
      </c>
    </row>
    <row r="60" spans="10:15" x14ac:dyDescent="0.25">
      <c r="J60" t="s">
        <v>44</v>
      </c>
      <c r="K60" t="s">
        <v>45</v>
      </c>
    </row>
    <row r="61" spans="10:15" x14ac:dyDescent="0.25">
      <c r="K61">
        <v>2258</v>
      </c>
    </row>
    <row r="63" spans="10:15" x14ac:dyDescent="0.25">
      <c r="J63" s="14" t="s">
        <v>44</v>
      </c>
      <c r="K63" s="14">
        <f>0.118*17590/2258</f>
        <v>0.91922940655447294</v>
      </c>
      <c r="M63" s="14" t="s">
        <v>46</v>
      </c>
      <c r="N63" s="14">
        <f>SQRT(K63)</f>
        <v>0.95876452090931741</v>
      </c>
    </row>
    <row r="74" spans="1:2" x14ac:dyDescent="0.25">
      <c r="A74" t="s">
        <v>47</v>
      </c>
    </row>
    <row r="75" spans="1:2" ht="15.75" thickBot="1" x14ac:dyDescent="0.3"/>
    <row r="76" spans="1:2" x14ac:dyDescent="0.25">
      <c r="A76" s="15" t="s">
        <v>48</v>
      </c>
      <c r="B76" s="15"/>
    </row>
    <row r="77" spans="1:2" x14ac:dyDescent="0.25">
      <c r="A77" t="s">
        <v>49</v>
      </c>
      <c r="B77">
        <v>0.95891223284506455</v>
      </c>
    </row>
    <row r="78" spans="1:2" x14ac:dyDescent="0.25">
      <c r="A78" t="s">
        <v>50</v>
      </c>
      <c r="B78">
        <v>0.91951267029990724</v>
      </c>
    </row>
    <row r="79" spans="1:2" x14ac:dyDescent="0.25">
      <c r="A79" t="s">
        <v>51</v>
      </c>
      <c r="B79">
        <v>0.90609811534989182</v>
      </c>
    </row>
    <row r="80" spans="1:2" x14ac:dyDescent="0.25">
      <c r="A80" t="s">
        <v>52</v>
      </c>
      <c r="B80">
        <v>5.5036410745192077</v>
      </c>
    </row>
    <row r="81" spans="1:9" ht="15.75" thickBot="1" x14ac:dyDescent="0.3">
      <c r="A81" s="16" t="s">
        <v>53</v>
      </c>
      <c r="B81" s="16">
        <v>8</v>
      </c>
    </row>
    <row r="83" spans="1:9" ht="15.75" thickBot="1" x14ac:dyDescent="0.3">
      <c r="A83" t="s">
        <v>54</v>
      </c>
    </row>
    <row r="84" spans="1:9" x14ac:dyDescent="0.25">
      <c r="A84" s="17"/>
      <c r="B84" s="17" t="s">
        <v>55</v>
      </c>
      <c r="C84" s="17" t="s">
        <v>56</v>
      </c>
      <c r="D84" s="17" t="s">
        <v>57</v>
      </c>
      <c r="E84" s="17" t="s">
        <v>58</v>
      </c>
      <c r="F84" s="17" t="s">
        <v>59</v>
      </c>
    </row>
    <row r="85" spans="1:9" x14ac:dyDescent="0.25">
      <c r="A85" t="s">
        <v>60</v>
      </c>
      <c r="B85">
        <v>1</v>
      </c>
      <c r="C85">
        <v>2076.2596095371905</v>
      </c>
      <c r="D85">
        <v>2076.2596095371905</v>
      </c>
      <c r="E85">
        <v>68.545894643999844</v>
      </c>
      <c r="F85">
        <v>1.6811149262015634E-4</v>
      </c>
    </row>
    <row r="86" spans="1:9" x14ac:dyDescent="0.25">
      <c r="A86" t="s">
        <v>61</v>
      </c>
      <c r="B86">
        <v>6</v>
      </c>
      <c r="C86">
        <v>181.74039046280964</v>
      </c>
      <c r="D86">
        <v>30.29006507713494</v>
      </c>
    </row>
    <row r="87" spans="1:9" ht="15.75" thickBot="1" x14ac:dyDescent="0.3">
      <c r="A87" s="16" t="s">
        <v>62</v>
      </c>
      <c r="B87" s="16">
        <v>7</v>
      </c>
      <c r="C87" s="16">
        <v>2258</v>
      </c>
      <c r="D87" s="16"/>
      <c r="E87" s="16"/>
      <c r="F87" s="16"/>
    </row>
    <row r="88" spans="1:9" ht="15.75" thickBot="1" x14ac:dyDescent="0.3"/>
    <row r="89" spans="1:9" x14ac:dyDescent="0.25">
      <c r="A89" s="17"/>
      <c r="B89" s="17" t="s">
        <v>63</v>
      </c>
      <c r="C89" s="17" t="s">
        <v>52</v>
      </c>
      <c r="D89" s="17" t="s">
        <v>64</v>
      </c>
      <c r="E89" s="17" t="s">
        <v>65</v>
      </c>
      <c r="F89" s="18" t="s">
        <v>66</v>
      </c>
      <c r="G89" s="18" t="s">
        <v>67</v>
      </c>
      <c r="H89" s="18" t="s">
        <v>68</v>
      </c>
      <c r="I89" s="18" t="s">
        <v>69</v>
      </c>
    </row>
    <row r="90" spans="1:9" x14ac:dyDescent="0.25">
      <c r="A90" t="s">
        <v>70</v>
      </c>
      <c r="B90">
        <v>30.187682177532661</v>
      </c>
      <c r="C90">
        <v>3.8821428993530289</v>
      </c>
      <c r="D90">
        <v>7.7760358029488126</v>
      </c>
      <c r="E90">
        <v>2.381059086887018E-4</v>
      </c>
      <c r="F90">
        <v>20.68842070926744</v>
      </c>
      <c r="G90">
        <v>39.686943645797882</v>
      </c>
      <c r="H90">
        <v>22.643978649367348</v>
      </c>
      <c r="I90">
        <v>37.731385705697974</v>
      </c>
    </row>
    <row r="91" spans="1:9" ht="15.75" thickBot="1" x14ac:dyDescent="0.3">
      <c r="A91" s="16" t="s">
        <v>7</v>
      </c>
      <c r="B91" s="16">
        <v>0.11803636211126722</v>
      </c>
      <c r="C91" s="16">
        <v>1.4256899608935648E-2</v>
      </c>
      <c r="D91" s="16">
        <v>8.2792448112131485</v>
      </c>
      <c r="E91" s="16">
        <v>1.6811149262015634E-4</v>
      </c>
      <c r="F91" s="16">
        <v>8.3150985497578503E-2</v>
      </c>
      <c r="G91" s="16">
        <v>0.15292173872495596</v>
      </c>
      <c r="H91" s="16">
        <v>9.033263592989714E-2</v>
      </c>
      <c r="I91" s="16">
        <v>0.14574008829263732</v>
      </c>
    </row>
  </sheetData>
  <mergeCells count="1">
    <mergeCell ref="P28:R30"/>
  </mergeCells>
  <pageMargins left="0.511811024" right="0.511811024" top="0.78740157499999996" bottom="0.78740157499999996" header="0.31496062000000002" footer="0.31496062000000002"/>
  <pageSetup paperSize="9" scale="53" fitToHeight="0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5D87-E9A2-44A1-8853-3247513B6F9A}">
  <dimension ref="A1"/>
  <sheetViews>
    <sheetView topLeftCell="A34" workbookViewId="0">
      <selection activeCell="Q5" sqref="Q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95a3b7-c790-4217-b3fd-d53554dcc1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7193045797B64DAFAD7A0DC4A10C11" ma:contentTypeVersion="18" ma:contentTypeDescription="Crie um novo documento." ma:contentTypeScope="" ma:versionID="2b3a4f0e889df642a2ba4c3ce0a5949b">
  <xsd:schema xmlns:xsd="http://www.w3.org/2001/XMLSchema" xmlns:xs="http://www.w3.org/2001/XMLSchema" xmlns:p="http://schemas.microsoft.com/office/2006/metadata/properties" xmlns:ns3="1aad6a26-dae0-460e-850a-7b279d39cd2d" xmlns:ns4="6f95a3b7-c790-4217-b3fd-d53554dcc138" targetNamespace="http://schemas.microsoft.com/office/2006/metadata/properties" ma:root="true" ma:fieldsID="0e1975ad7b2e86285967d86f02339ecf" ns3:_="" ns4:_="">
    <xsd:import namespace="1aad6a26-dae0-460e-850a-7b279d39cd2d"/>
    <xsd:import namespace="6f95a3b7-c790-4217-b3fd-d53554dcc1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d6a26-dae0-460e-850a-7b279d39cd2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5a3b7-c790-4217-b3fd-d53554dcc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6E6BBA-F825-42FD-833A-95B035FCC03B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6f95a3b7-c790-4217-b3fd-d53554dcc138"/>
    <ds:schemaRef ds:uri="1aad6a26-dae0-460e-850a-7b279d39cd2d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EE023BD-33AC-4D34-A4C2-91335C99C7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1D088C-E9D9-45AB-A160-D0503AE570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d6a26-dae0-460e-850a-7b279d39cd2d"/>
    <ds:schemaRef ds:uri="6f95a3b7-c790-4217-b3fd-d53554dcc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Exercicio_01</vt:lpstr>
      <vt:lpstr>Exer 02</vt:lpstr>
      <vt:lpstr>Exer 03</vt:lpstr>
      <vt:lpstr>Exer 04</vt:lpstr>
      <vt:lpstr>Exercicio_01Resolvido</vt:lpstr>
      <vt:lpstr>Roteiro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DIAS CORREA</dc:creator>
  <cp:lastModifiedBy>LUIZ HENRIQUE DIAS CORREA</cp:lastModifiedBy>
  <dcterms:created xsi:type="dcterms:W3CDTF">2024-05-15T21:40:45Z</dcterms:created>
  <dcterms:modified xsi:type="dcterms:W3CDTF">2025-05-28T21:39:16Z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0x010100997193045797B64DAFAD7A0DC4A10C11</vt:lpwstr>
  </property>
</Properties>
</file>